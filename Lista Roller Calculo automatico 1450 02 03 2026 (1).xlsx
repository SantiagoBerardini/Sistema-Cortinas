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M Diseños\Documents\"/>
    </mc:Choice>
  </mc:AlternateContent>
  <bookViews>
    <workbookView xWindow="0" yWindow="0" windowWidth="2040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11" i="1" l="1"/>
  <c r="BA11" i="1"/>
  <c r="AW11" i="1"/>
  <c r="AX11" i="1"/>
  <c r="AY11" i="1"/>
  <c r="AV11" i="1"/>
  <c r="AT11" i="1"/>
  <c r="AU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W11" i="1"/>
  <c r="AV10" i="1" l="1"/>
  <c r="AW10" i="1"/>
  <c r="AX10" i="1"/>
  <c r="AY10" i="1"/>
  <c r="AV8" i="1"/>
  <c r="AW8" i="1"/>
  <c r="AX8" i="1"/>
  <c r="AY8" i="1"/>
  <c r="T30" i="1" l="1"/>
  <c r="T32" i="1"/>
  <c r="T31" i="1"/>
  <c r="T27" i="1"/>
  <c r="T28" i="1"/>
  <c r="T29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33" i="1"/>
  <c r="T2" i="1"/>
  <c r="A113" i="1" l="1"/>
  <c r="AM7" i="1"/>
  <c r="AV4" i="1"/>
  <c r="BB8" i="1"/>
  <c r="BA8" i="1"/>
  <c r="BA10" i="1"/>
  <c r="AS5" i="1" l="1"/>
  <c r="AR5" i="1"/>
  <c r="AH5" i="1"/>
  <c r="AG5" i="1"/>
  <c r="BB4" i="1"/>
  <c r="BB10" i="1" s="1"/>
  <c r="B109" i="1"/>
  <c r="P109" i="1" s="1"/>
  <c r="BA9" i="1"/>
  <c r="BA7" i="1"/>
  <c r="BA6" i="1"/>
  <c r="BA5" i="1"/>
  <c r="BB9" i="1"/>
  <c r="BB7" i="1"/>
  <c r="BB6" i="1"/>
  <c r="I109" i="1" l="1"/>
  <c r="Q109" i="1"/>
  <c r="F109" i="1"/>
  <c r="J109" i="1"/>
  <c r="N109" i="1"/>
  <c r="M109" i="1"/>
  <c r="G109" i="1"/>
  <c r="K109" i="1"/>
  <c r="O109" i="1"/>
  <c r="H109" i="1"/>
  <c r="L109" i="1"/>
  <c r="C109" i="1"/>
  <c r="D109" i="1"/>
  <c r="E109" i="1"/>
  <c r="T47" i="1" l="1"/>
  <c r="AY7" i="1"/>
  <c r="AY9" i="1"/>
  <c r="AW3" i="1"/>
  <c r="AW4" i="1"/>
  <c r="AU4" i="1"/>
  <c r="AG4" i="1"/>
  <c r="AQ6" i="1" l="1"/>
  <c r="AF6" i="1"/>
  <c r="AE6" i="1"/>
  <c r="AD6" i="1"/>
  <c r="AC6" i="1"/>
  <c r="AA6" i="1"/>
  <c r="AQ3" i="1" l="1"/>
  <c r="T41" i="1" l="1"/>
  <c r="AF3" i="1" l="1"/>
  <c r="AP4" i="1"/>
  <c r="F8" i="1" l="1"/>
  <c r="G8" i="1" s="1"/>
  <c r="AA5" i="1" l="1"/>
  <c r="AT5" i="1" s="1"/>
  <c r="AV5" i="1" s="1"/>
  <c r="AB5" i="1"/>
  <c r="AX5" i="1" l="1"/>
  <c r="AD5" i="1"/>
  <c r="AF5" i="1" s="1"/>
  <c r="AU5" i="1"/>
  <c r="AW5" i="1" s="1"/>
  <c r="AC5" i="1"/>
  <c r="AE5" i="1" s="1"/>
  <c r="AI5" i="1" s="1"/>
  <c r="T88" i="1"/>
  <c r="T87" i="1"/>
  <c r="AY5" i="1" l="1"/>
  <c r="BB5" i="1" s="1"/>
  <c r="B110" i="1" s="1"/>
  <c r="Q110" i="1" l="1"/>
  <c r="K110" i="1"/>
  <c r="J110" i="1"/>
  <c r="D110" i="1"/>
  <c r="M110" i="1"/>
  <c r="H110" i="1"/>
  <c r="C110" i="1"/>
  <c r="L110" i="1"/>
  <c r="G110" i="1"/>
  <c r="I110" i="1"/>
  <c r="O110" i="1"/>
  <c r="E110" i="1"/>
  <c r="F110" i="1"/>
  <c r="P110" i="1"/>
  <c r="N110" i="1"/>
  <c r="F30" i="1"/>
  <c r="F29" i="1" l="1"/>
  <c r="G29" i="1" s="1"/>
  <c r="F31" i="1" l="1"/>
  <c r="G31" i="1" s="1"/>
  <c r="F32" i="1" l="1"/>
  <c r="G32" i="1" s="1"/>
  <c r="T50" i="1"/>
  <c r="B48" i="1" s="1"/>
  <c r="X3" i="1"/>
  <c r="F28" i="1" l="1"/>
  <c r="G28" i="1" s="1"/>
  <c r="AS2" i="1" l="1"/>
  <c r="AR2" i="1"/>
  <c r="T40" i="1" l="1"/>
  <c r="F27" i="1" l="1"/>
  <c r="G27" i="1" s="1"/>
  <c r="F22" i="1" l="1"/>
  <c r="G22" i="1" s="1"/>
  <c r="F23" i="1"/>
  <c r="G23" i="1" s="1"/>
  <c r="F24" i="1"/>
  <c r="G24" i="1" s="1"/>
  <c r="F25" i="1"/>
  <c r="G25" i="1" s="1"/>
  <c r="F26" i="1"/>
  <c r="G26" i="1" s="1"/>
  <c r="F20" i="1" l="1"/>
  <c r="G20" i="1" s="1"/>
  <c r="F21" i="1"/>
  <c r="G21" i="1" s="1"/>
  <c r="AQ2" i="1"/>
  <c r="AP2" i="1"/>
  <c r="T52" i="1" l="1"/>
  <c r="T51" i="1"/>
  <c r="B65" i="1" s="1"/>
  <c r="F17" i="1" l="1"/>
  <c r="G17" i="1" s="1"/>
  <c r="F18" i="1"/>
  <c r="F19" i="1" l="1"/>
  <c r="G19" i="1" s="1"/>
  <c r="S58" i="1"/>
  <c r="T58" i="1" s="1"/>
  <c r="U58" i="1" s="1"/>
  <c r="S57" i="1"/>
  <c r="U60" i="1" l="1"/>
  <c r="U62" i="1" s="1"/>
  <c r="T57" i="1"/>
  <c r="U57" i="1" s="1"/>
  <c r="AJ3" i="1"/>
  <c r="AH3" i="1"/>
  <c r="AD3" i="1"/>
  <c r="AB3" i="1"/>
  <c r="Z3" i="1"/>
  <c r="X9" i="1"/>
  <c r="Z9" i="1" s="1"/>
  <c r="AA9" i="1" s="1"/>
  <c r="AT9" i="1" s="1"/>
  <c r="X8" i="1"/>
  <c r="Z8" i="1" s="1"/>
  <c r="AA8" i="1" s="1"/>
  <c r="AT8" i="1" s="1"/>
  <c r="AU8" i="1" s="1"/>
  <c r="X7" i="1"/>
  <c r="Z7" i="1" s="1"/>
  <c r="AA7" i="1" s="1"/>
  <c r="AU7" i="1" s="1"/>
  <c r="AT6" i="1"/>
  <c r="AB4" i="1"/>
  <c r="Y4" i="1"/>
  <c r="Z4" i="1" s="1"/>
  <c r="AC4" i="1" s="1"/>
  <c r="AD4" i="1" s="1"/>
  <c r="F3" i="1"/>
  <c r="G3" i="1" s="1"/>
  <c r="F4" i="1"/>
  <c r="G4" i="1" s="1"/>
  <c r="F5" i="1"/>
  <c r="F6" i="1"/>
  <c r="F7" i="1"/>
  <c r="F11" i="1"/>
  <c r="G11" i="1" s="1"/>
  <c r="F16" i="1"/>
  <c r="G16" i="1" s="1"/>
  <c r="F13" i="1" l="1"/>
  <c r="G13" i="1" s="1"/>
  <c r="F15" i="1"/>
  <c r="G15" i="1" s="1"/>
  <c r="F14" i="1"/>
  <c r="G14" i="1" s="1"/>
  <c r="F10" i="1"/>
  <c r="G10" i="1" s="1"/>
  <c r="F9" i="1"/>
  <c r="G9" i="1" s="1"/>
  <c r="F12" i="1"/>
  <c r="G12" i="1" s="1"/>
  <c r="F2" i="1"/>
  <c r="G2" i="1" s="1"/>
  <c r="AU6" i="1"/>
  <c r="AW6" i="1" s="1"/>
  <c r="AV6" i="1"/>
  <c r="AU9" i="1"/>
  <c r="AU10" i="1" s="1"/>
  <c r="B95" i="1" s="1"/>
  <c r="AT10" i="1"/>
  <c r="B94" i="1" s="1"/>
  <c r="U59" i="1"/>
  <c r="U61" i="1" s="1"/>
  <c r="AQ5" i="1"/>
  <c r="AB9" i="1"/>
  <c r="AJ9" i="1" s="1"/>
  <c r="AS9" i="1" s="1"/>
  <c r="AP9" i="1"/>
  <c r="AB8" i="1"/>
  <c r="AJ8" i="1" s="1"/>
  <c r="AS8" i="1" s="1"/>
  <c r="AP8" i="1"/>
  <c r="AB7" i="1"/>
  <c r="AJ7" i="1" s="1"/>
  <c r="AS7" i="1" s="1"/>
  <c r="AP7" i="1"/>
  <c r="AB6" i="1"/>
  <c r="AP6" i="1"/>
  <c r="AP5" i="1"/>
  <c r="AE4" i="1"/>
  <c r="AF4" i="1" s="1"/>
  <c r="AQ4" i="1"/>
  <c r="AI8" i="1"/>
  <c r="AR8" i="1" s="1"/>
  <c r="AJ4" i="1"/>
  <c r="AS4" i="1" s="1"/>
  <c r="AI9" i="1"/>
  <c r="AR9" i="1" s="1"/>
  <c r="AI7" i="1"/>
  <c r="AR7" i="1" s="1"/>
  <c r="AI6" i="1"/>
  <c r="AR6" i="1" s="1"/>
  <c r="AI4" i="1"/>
  <c r="AH9" i="1"/>
  <c r="AH8" i="1"/>
  <c r="AH7" i="1"/>
  <c r="AH6" i="1"/>
  <c r="AJ6" i="1" s="1"/>
  <c r="AH4" i="1"/>
  <c r="AG8" i="1"/>
  <c r="AG6" i="1"/>
  <c r="T45" i="1"/>
  <c r="AS6" i="1" l="1"/>
  <c r="AX6" i="1"/>
  <c r="B104" i="1" s="1"/>
  <c r="B99" i="1"/>
  <c r="AY6" i="1"/>
  <c r="B105" i="1" s="1"/>
  <c r="B100" i="1"/>
  <c r="T43" i="1"/>
  <c r="T46" i="1"/>
  <c r="AR4" i="1"/>
  <c r="AP10" i="1"/>
  <c r="AC9" i="1"/>
  <c r="AD9" i="1" s="1"/>
  <c r="AE9" i="1" s="1"/>
  <c r="AF9" i="1" s="1"/>
  <c r="AG9" i="1" s="1"/>
  <c r="AQ9" i="1"/>
  <c r="AC8" i="1"/>
  <c r="AD8" i="1" s="1"/>
  <c r="AE8" i="1" s="1"/>
  <c r="AF8" i="1" s="1"/>
  <c r="AQ8" i="1"/>
  <c r="AC7" i="1"/>
  <c r="AD7" i="1" s="1"/>
  <c r="AE7" i="1" s="1"/>
  <c r="AF7" i="1" s="1"/>
  <c r="AG7" i="1" s="1"/>
  <c r="AQ7" i="1"/>
  <c r="B80" i="1" l="1"/>
  <c r="AJ5" i="1"/>
  <c r="AG10" i="1"/>
  <c r="AI10" i="1"/>
  <c r="AR10" i="1"/>
  <c r="AJ10" i="1"/>
  <c r="AQ10" i="1"/>
  <c r="AF10" i="1"/>
  <c r="AE10" i="1"/>
  <c r="AD10" i="1"/>
  <c r="AC10" i="1"/>
  <c r="B76" i="1" l="1"/>
  <c r="J76" i="1" s="1"/>
  <c r="B75" i="1"/>
  <c r="B70" i="1"/>
  <c r="B71" i="1"/>
  <c r="B52" i="1"/>
  <c r="B81" i="1"/>
  <c r="T44" i="1"/>
  <c r="AH10" i="1"/>
  <c r="AS10" i="1"/>
  <c r="B85" i="1"/>
  <c r="C85" i="1" s="1"/>
  <c r="B53" i="1"/>
  <c r="B57" i="1"/>
  <c r="D57" i="1" s="1"/>
  <c r="J75" i="1" l="1"/>
  <c r="N75" i="1"/>
  <c r="Q75" i="1"/>
  <c r="F75" i="1"/>
  <c r="O75" i="1"/>
  <c r="D75" i="1"/>
  <c r="I75" i="1"/>
  <c r="K75" i="1"/>
  <c r="C75" i="1"/>
  <c r="G75" i="1"/>
  <c r="L75" i="1"/>
  <c r="H75" i="1"/>
  <c r="M75" i="1"/>
  <c r="P75" i="1"/>
  <c r="E75" i="1"/>
  <c r="N76" i="1"/>
  <c r="B41" i="1"/>
  <c r="I85" i="1"/>
  <c r="L76" i="1"/>
  <c r="E76" i="1"/>
  <c r="I76" i="1"/>
  <c r="F76" i="1"/>
  <c r="K76" i="1"/>
  <c r="C76" i="1"/>
  <c r="Q76" i="1"/>
  <c r="O76" i="1"/>
  <c r="P76" i="1"/>
  <c r="H76" i="1"/>
  <c r="G76" i="1"/>
  <c r="M76" i="1"/>
  <c r="D76" i="1"/>
  <c r="J85" i="1"/>
  <c r="D85" i="1"/>
  <c r="K85" i="1"/>
  <c r="Q85" i="1"/>
  <c r="P85" i="1"/>
  <c r="G85" i="1"/>
  <c r="O85" i="1"/>
  <c r="F85" i="1"/>
  <c r="H85" i="1"/>
  <c r="E85" i="1"/>
  <c r="I57" i="1"/>
  <c r="N57" i="1"/>
  <c r="G57" i="1"/>
  <c r="N85" i="1"/>
  <c r="L85" i="1"/>
  <c r="M85" i="1"/>
  <c r="K57" i="1"/>
  <c r="M57" i="1"/>
  <c r="C57" i="1"/>
  <c r="O57" i="1"/>
  <c r="Q57" i="1"/>
  <c r="L57" i="1"/>
  <c r="H57" i="1"/>
  <c r="P57" i="1"/>
  <c r="J57" i="1"/>
  <c r="E57" i="1"/>
  <c r="F57" i="1"/>
  <c r="T37" i="1"/>
  <c r="L41" i="1" l="1"/>
  <c r="M41" i="1"/>
  <c r="P41" i="1"/>
  <c r="G41" i="1"/>
  <c r="E41" i="1"/>
  <c r="H41" i="1"/>
  <c r="Q41" i="1"/>
  <c r="C41" i="1"/>
  <c r="I41" i="1"/>
  <c r="F41" i="1"/>
  <c r="J41" i="1"/>
  <c r="O41" i="1"/>
  <c r="D41" i="1"/>
  <c r="N41" i="1"/>
  <c r="K41" i="1"/>
  <c r="N94" i="1"/>
  <c r="P99" i="1"/>
  <c r="F99" i="1"/>
  <c r="G99" i="1"/>
  <c r="Q99" i="1"/>
  <c r="N99" i="1"/>
  <c r="M99" i="1"/>
  <c r="L99" i="1"/>
  <c r="J99" i="1"/>
  <c r="K99" i="1"/>
  <c r="D99" i="1"/>
  <c r="E99" i="1"/>
  <c r="O99" i="1"/>
  <c r="H99" i="1"/>
  <c r="C99" i="1"/>
  <c r="I99" i="1"/>
  <c r="P104" i="1"/>
  <c r="Q104" i="1"/>
  <c r="M104" i="1"/>
  <c r="F104" i="1"/>
  <c r="C104" i="1"/>
  <c r="H104" i="1"/>
  <c r="O104" i="1"/>
  <c r="I104" i="1"/>
  <c r="L104" i="1"/>
  <c r="K104" i="1"/>
  <c r="D104" i="1"/>
  <c r="E104" i="1"/>
  <c r="N104" i="1"/>
  <c r="J104" i="1"/>
  <c r="G104" i="1"/>
  <c r="L105" i="1"/>
  <c r="Q94" i="1"/>
  <c r="I94" i="1"/>
  <c r="P94" i="1"/>
  <c r="H94" i="1"/>
  <c r="E94" i="1"/>
  <c r="D94" i="1"/>
  <c r="C94" i="1"/>
  <c r="O94" i="1"/>
  <c r="G94" i="1"/>
  <c r="F94" i="1"/>
  <c r="M94" i="1"/>
  <c r="L94" i="1"/>
  <c r="K94" i="1"/>
  <c r="J94" i="1"/>
  <c r="Q80" i="1"/>
  <c r="I80" i="1"/>
  <c r="D80" i="1"/>
  <c r="M80" i="1"/>
  <c r="E80" i="1"/>
  <c r="L80" i="1"/>
  <c r="H80" i="1"/>
  <c r="K80" i="1"/>
  <c r="C80" i="1"/>
  <c r="J80" i="1"/>
  <c r="F80" i="1"/>
  <c r="O80" i="1"/>
  <c r="P80" i="1"/>
  <c r="G80" i="1"/>
  <c r="N80" i="1"/>
  <c r="M70" i="1"/>
  <c r="T38" i="1"/>
  <c r="Y10" i="1"/>
  <c r="Z10" i="1"/>
  <c r="AA10" i="1"/>
  <c r="AB10" i="1"/>
  <c r="B63" i="1" l="1"/>
  <c r="B62" i="1"/>
  <c r="B45" i="1"/>
  <c r="B46" i="1"/>
  <c r="Q105" i="1"/>
  <c r="G100" i="1"/>
  <c r="K105" i="1"/>
  <c r="M100" i="1"/>
  <c r="J105" i="1"/>
  <c r="I105" i="1"/>
  <c r="P100" i="1"/>
  <c r="D105" i="1"/>
  <c r="I100" i="1"/>
  <c r="F100" i="1"/>
  <c r="C100" i="1"/>
  <c r="G105" i="1"/>
  <c r="H105" i="1"/>
  <c r="Q100" i="1"/>
  <c r="J100" i="1"/>
  <c r="L100" i="1"/>
  <c r="O105" i="1"/>
  <c r="K100" i="1"/>
  <c r="P105" i="1"/>
  <c r="N105" i="1"/>
  <c r="E100" i="1"/>
  <c r="M105" i="1"/>
  <c r="C105" i="1"/>
  <c r="D100" i="1"/>
  <c r="O100" i="1"/>
  <c r="F105" i="1"/>
  <c r="H100" i="1"/>
  <c r="N100" i="1"/>
  <c r="E105" i="1"/>
  <c r="C95" i="1"/>
  <c r="O95" i="1"/>
  <c r="Q95" i="1"/>
  <c r="D95" i="1"/>
  <c r="L95" i="1"/>
  <c r="P95" i="1"/>
  <c r="I95" i="1"/>
  <c r="J95" i="1"/>
  <c r="F95" i="1"/>
  <c r="N95" i="1"/>
  <c r="E95" i="1"/>
  <c r="H95" i="1"/>
  <c r="M95" i="1"/>
  <c r="G95" i="1"/>
  <c r="K95" i="1"/>
  <c r="Q81" i="1"/>
  <c r="P81" i="1"/>
  <c r="O81" i="1"/>
  <c r="N81" i="1"/>
  <c r="D81" i="1"/>
  <c r="C81" i="1"/>
  <c r="M81" i="1"/>
  <c r="L81" i="1"/>
  <c r="K81" i="1"/>
  <c r="J81" i="1"/>
  <c r="E81" i="1"/>
  <c r="I81" i="1"/>
  <c r="H81" i="1"/>
  <c r="G81" i="1"/>
  <c r="F81" i="1"/>
  <c r="F71" i="1"/>
  <c r="I71" i="1"/>
  <c r="H71" i="1"/>
  <c r="C71" i="1"/>
  <c r="K71" i="1"/>
  <c r="E71" i="1"/>
  <c r="D71" i="1"/>
  <c r="N71" i="1"/>
  <c r="Q71" i="1"/>
  <c r="P71" i="1"/>
  <c r="O71" i="1"/>
  <c r="J71" i="1"/>
  <c r="M71" i="1"/>
  <c r="L71" i="1"/>
  <c r="G71" i="1"/>
  <c r="P70" i="1"/>
  <c r="E70" i="1"/>
  <c r="I70" i="1"/>
  <c r="C70" i="1"/>
  <c r="Q70" i="1"/>
  <c r="J70" i="1"/>
  <c r="F70" i="1"/>
  <c r="G70" i="1"/>
  <c r="K70" i="1"/>
  <c r="O70" i="1"/>
  <c r="L70" i="1"/>
  <c r="N70" i="1"/>
  <c r="D70" i="1"/>
  <c r="H70" i="1"/>
  <c r="W10" i="1"/>
  <c r="T39" i="1"/>
  <c r="X10" i="1"/>
  <c r="Q62" i="1" l="1"/>
  <c r="L62" i="1"/>
  <c r="D62" i="1"/>
  <c r="K62" i="1"/>
  <c r="C62" i="1"/>
  <c r="O63" i="1"/>
  <c r="G63" i="1"/>
  <c r="N63" i="1"/>
  <c r="F63" i="1"/>
  <c r="M63" i="1"/>
  <c r="E63" i="1"/>
  <c r="L63" i="1"/>
  <c r="D63" i="1"/>
  <c r="K63" i="1"/>
  <c r="C63" i="1"/>
  <c r="J63" i="1"/>
  <c r="Q63" i="1"/>
  <c r="I63" i="1"/>
  <c r="P63" i="1"/>
  <c r="H63" i="1"/>
  <c r="P62" i="1"/>
  <c r="E62" i="1"/>
  <c r="M62" i="1"/>
  <c r="J62" i="1"/>
  <c r="F62" i="1"/>
  <c r="G62" i="1"/>
  <c r="O62" i="1"/>
  <c r="H62" i="1"/>
  <c r="N62" i="1"/>
  <c r="I62" i="1"/>
  <c r="B39" i="1"/>
  <c r="B38" i="1"/>
  <c r="G53" i="1"/>
  <c r="C53" i="1"/>
  <c r="E46" i="1"/>
  <c r="M46" i="1"/>
  <c r="H46" i="1"/>
  <c r="N46" i="1"/>
  <c r="O45" i="1"/>
  <c r="J45" i="1"/>
  <c r="E45" i="1"/>
  <c r="I45" i="1"/>
  <c r="Q53" i="1"/>
  <c r="F53" i="1"/>
  <c r="K53" i="1"/>
  <c r="D53" i="1"/>
  <c r="G46" i="1"/>
  <c r="O46" i="1"/>
  <c r="F46" i="1"/>
  <c r="P46" i="1"/>
  <c r="C45" i="1"/>
  <c r="L45" i="1"/>
  <c r="K45" i="1"/>
  <c r="P53" i="1"/>
  <c r="P52" i="1"/>
  <c r="L52" i="1"/>
  <c r="J52" i="1"/>
  <c r="E52" i="1"/>
  <c r="O52" i="1"/>
  <c r="K52" i="1"/>
  <c r="G52" i="1"/>
  <c r="C52" i="1"/>
  <c r="D52" i="1"/>
  <c r="F52" i="1"/>
  <c r="M52" i="1"/>
  <c r="I52" i="1"/>
  <c r="Q52" i="1"/>
  <c r="H52" i="1"/>
  <c r="N52" i="1"/>
  <c r="I46" i="1"/>
  <c r="Q46" i="1"/>
  <c r="J46" i="1"/>
  <c r="G45" i="1"/>
  <c r="F45" i="1"/>
  <c r="N45" i="1"/>
  <c r="M45" i="1"/>
  <c r="H53" i="1"/>
  <c r="L53" i="1"/>
  <c r="I53" i="1"/>
  <c r="M53" i="1"/>
  <c r="D46" i="1"/>
  <c r="K46" i="1"/>
  <c r="C46" i="1"/>
  <c r="L46" i="1"/>
  <c r="Q45" i="1"/>
  <c r="H45" i="1"/>
  <c r="P45" i="1"/>
  <c r="D45" i="1"/>
  <c r="O53" i="1"/>
  <c r="E53" i="1"/>
  <c r="J53" i="1"/>
  <c r="N53" i="1"/>
  <c r="O39" i="1" l="1"/>
  <c r="Q39" i="1"/>
  <c r="M39" i="1"/>
  <c r="H39" i="1"/>
  <c r="C39" i="1"/>
  <c r="I39" i="1"/>
  <c r="J39" i="1"/>
  <c r="G39" i="1"/>
  <c r="D39" i="1"/>
  <c r="K39" i="1"/>
  <c r="P39" i="1"/>
  <c r="F39" i="1"/>
  <c r="N39" i="1"/>
  <c r="L39" i="1"/>
  <c r="Q38" i="1"/>
  <c r="G38" i="1"/>
  <c r="N38" i="1"/>
  <c r="H38" i="1"/>
  <c r="L38" i="1"/>
  <c r="I38" i="1"/>
  <c r="C38" i="1"/>
  <c r="M38" i="1"/>
  <c r="O38" i="1"/>
  <c r="P38" i="1"/>
  <c r="F38" i="1"/>
  <c r="E38" i="1"/>
  <c r="K38" i="1"/>
  <c r="D38" i="1"/>
  <c r="J38" i="1"/>
  <c r="E39" i="1"/>
</calcChain>
</file>

<file path=xl/sharedStrings.xml><?xml version="1.0" encoding="utf-8"?>
<sst xmlns="http://schemas.openxmlformats.org/spreadsheetml/2006/main" count="309" uniqueCount="173">
  <si>
    <t xml:space="preserve">TELA </t>
  </si>
  <si>
    <t>ANCHO</t>
  </si>
  <si>
    <t xml:space="preserve">COLORES </t>
  </si>
  <si>
    <t>BLANCO, NATURAL</t>
  </si>
  <si>
    <t>VENECIA</t>
  </si>
  <si>
    <t>HINDU</t>
  </si>
  <si>
    <t>BROWN,CAMEL,TABACO</t>
  </si>
  <si>
    <t xml:space="preserve">GAZA </t>
  </si>
  <si>
    <t>RAMIO (RUSTICA)</t>
  </si>
  <si>
    <t>BLANCO,BEIGE, IVORY,GRIS</t>
  </si>
  <si>
    <t>BLACK OUT VINILICO CADAC LISO</t>
  </si>
  <si>
    <t>SCREEN DEVON</t>
  </si>
  <si>
    <t>SCREEN BICOLOR</t>
  </si>
  <si>
    <t>BCO,BCO/BGE,BCO/GRIS</t>
  </si>
  <si>
    <t>Medida</t>
  </si>
  <si>
    <t>Precio zocalo interno</t>
  </si>
  <si>
    <t>Precio zocalo Externo</t>
  </si>
  <si>
    <t>Dólar</t>
  </si>
  <si>
    <t>BLACK OUT VINILICO SOSTEN MUTUO</t>
  </si>
  <si>
    <t>u$S</t>
  </si>
  <si>
    <t>VENECIA ANCHA</t>
  </si>
  <si>
    <t>interno</t>
  </si>
  <si>
    <t>Externo</t>
  </si>
  <si>
    <t>Sistema</t>
  </si>
  <si>
    <t>Caño</t>
  </si>
  <si>
    <t>Zocalo</t>
  </si>
  <si>
    <t>Tapa Zocalo</t>
  </si>
  <si>
    <t>Cadena</t>
  </si>
  <si>
    <t>Union y tope</t>
  </si>
  <si>
    <t>Peso cadena</t>
  </si>
  <si>
    <t>Total costo sistema</t>
  </si>
  <si>
    <t>Total Sistema a público</t>
  </si>
  <si>
    <t>Zocalo interno</t>
  </si>
  <si>
    <t>Zocalo Externo</t>
  </si>
  <si>
    <t>Caño 32</t>
  </si>
  <si>
    <t>Caño 41</t>
  </si>
  <si>
    <t>U$S</t>
  </si>
  <si>
    <t>ROLLER</t>
  </si>
  <si>
    <t>BLACK OUT VINILICO SOSTEN MUTUO 2,50</t>
  </si>
  <si>
    <t>Traslucida DEVON</t>
  </si>
  <si>
    <t>PRECIOS Roller</t>
  </si>
  <si>
    <t>PRECIOS Bandas v.</t>
  </si>
  <si>
    <t>Sistema  32 Milan</t>
  </si>
  <si>
    <t>Sistema 32 Premium</t>
  </si>
  <si>
    <t>Sistema 41 Premium</t>
  </si>
  <si>
    <t>Sistema 32 Extensible Premium</t>
  </si>
  <si>
    <t>32   Extensible</t>
  </si>
  <si>
    <t>41   Extensible</t>
  </si>
  <si>
    <t>Sistema 41 Extensible Premium</t>
  </si>
  <si>
    <t>Para sistema simple o extensible</t>
  </si>
  <si>
    <t xml:space="preserve">41 doble </t>
  </si>
  <si>
    <t>32 doble</t>
  </si>
  <si>
    <t>Nota los soportes dobles estan calculados con el doble de materiales que  un sistema simple</t>
  </si>
  <si>
    <t>Sistema intermedio de 32 sumar</t>
  </si>
  <si>
    <t>Diferencia sistema intermedio 32</t>
  </si>
  <si>
    <t>Diferencia sistema intermedio 41</t>
  </si>
  <si>
    <t>intermedio 32</t>
  </si>
  <si>
    <t>intermedio 41</t>
  </si>
  <si>
    <t>Sistema intermedio de 41 sumar</t>
  </si>
  <si>
    <t>Sistema 32 Doble premium</t>
  </si>
  <si>
    <t>Sistema 41 Doble premium</t>
  </si>
  <si>
    <t xml:space="preserve">Para sistema doble </t>
  </si>
  <si>
    <t>IVA</t>
  </si>
  <si>
    <t>BLACK OUT VINILICO SOSTEN MUTUO 1,83</t>
  </si>
  <si>
    <t>BLACK OUT VINILICO CADAC LISO 2,50</t>
  </si>
  <si>
    <t>u$S x M2</t>
  </si>
  <si>
    <t>Banda Verticales</t>
  </si>
  <si>
    <t>Aluminio</t>
  </si>
  <si>
    <t>Esmalte Blanco</t>
  </si>
  <si>
    <t>$$$$</t>
  </si>
  <si>
    <t>Bandas Verticales</t>
  </si>
  <si>
    <t>Esmaltado blanco</t>
  </si>
  <si>
    <t>%</t>
  </si>
  <si>
    <t>Black Out Deco Devon</t>
  </si>
  <si>
    <t>Black Out Deco Desert (hasta agotar stock)</t>
  </si>
  <si>
    <t>BLACK OUT DECO DEVON</t>
  </si>
  <si>
    <t>Black Out Deco Desert (H/agotar stock)</t>
  </si>
  <si>
    <t>Unico COLOR</t>
  </si>
  <si>
    <t>Gris, Beige</t>
  </si>
  <si>
    <t>Choco, Beige, Natural</t>
  </si>
  <si>
    <t>SCREEN 5 % POLIESTER CADAC</t>
  </si>
  <si>
    <t>CADAC</t>
  </si>
  <si>
    <t>intermedio 32 ECO</t>
  </si>
  <si>
    <t>Diferencia sistema intermedio 32 Eco</t>
  </si>
  <si>
    <t>Sistema 41Milan</t>
  </si>
  <si>
    <t>32 Milan</t>
  </si>
  <si>
    <t>41 Milan</t>
  </si>
  <si>
    <t>Black Out Roller Poliester</t>
  </si>
  <si>
    <t>Blanco</t>
  </si>
  <si>
    <t>Black out Roller Amazonia</t>
  </si>
  <si>
    <t>Blanco, Beige</t>
  </si>
  <si>
    <t>Black Out Roller Firenze</t>
  </si>
  <si>
    <t>Blanco, Marfil, Bicolor</t>
  </si>
  <si>
    <t>Black Out Roller Amalfi</t>
  </si>
  <si>
    <t>Natural</t>
  </si>
  <si>
    <t>Black Out Roller Linate</t>
  </si>
  <si>
    <t>Black Out Roller Nocturno</t>
  </si>
  <si>
    <t>Blanco, Beige, Marfil</t>
  </si>
  <si>
    <t>Black Out Roller Nocturno 2,80</t>
  </si>
  <si>
    <t>Black Out Roller Poliester 2,80</t>
  </si>
  <si>
    <t>Black Out Roller Economico</t>
  </si>
  <si>
    <t>BLACK OUT VINILICO SOSTEN MUTUO 3,05</t>
  </si>
  <si>
    <t>Traslusido DEVON</t>
  </si>
  <si>
    <t xml:space="preserve">BLACK OUT VINILICO SOSTEN MUTUO </t>
  </si>
  <si>
    <t>SCREEN BICOLOR Rustico</t>
  </si>
  <si>
    <t>SCREEN BICOLOR rustico</t>
  </si>
  <si>
    <t>Screen Mesh Sabrina</t>
  </si>
  <si>
    <t>Blanco, Beige, Gris</t>
  </si>
  <si>
    <t>Eclipse</t>
  </si>
  <si>
    <t>Lino</t>
  </si>
  <si>
    <t>Eclipse 2,25</t>
  </si>
  <si>
    <t>Sistema 41 Doble Milan</t>
  </si>
  <si>
    <t>41 Milan Doble</t>
  </si>
  <si>
    <t>------------</t>
  </si>
  <si>
    <t>doble milan 32</t>
  </si>
  <si>
    <t>32 Milan Doble</t>
  </si>
  <si>
    <t>Precio sistema doble</t>
  </si>
  <si>
    <t>Sistema 32 Doble Milan</t>
  </si>
  <si>
    <t>Classic I</t>
  </si>
  <si>
    <t>Classic II</t>
  </si>
  <si>
    <t>Blanco, Durazno, Natural</t>
  </si>
  <si>
    <t>Arena, Nomade</t>
  </si>
  <si>
    <t xml:space="preserve">Tostado </t>
  </si>
  <si>
    <t>SCREEN Milan 1%</t>
  </si>
  <si>
    <t>SCREEN MILAN 5%</t>
  </si>
  <si>
    <t>SCREEN MILAN 1%</t>
  </si>
  <si>
    <t>Bco/ Beige, Blanco, Beige</t>
  </si>
  <si>
    <t>SCREEN  5%</t>
  </si>
  <si>
    <t>SCREEN 1%</t>
  </si>
  <si>
    <t>Black out poliester Goma</t>
  </si>
  <si>
    <t>Beige</t>
  </si>
  <si>
    <t xml:space="preserve"> </t>
  </si>
  <si>
    <t>VENECIA 2861</t>
  </si>
  <si>
    <t>VENECIA ANCHA 2861</t>
  </si>
  <si>
    <t>Zenit Tela</t>
  </si>
  <si>
    <t>Costo Financiero</t>
  </si>
  <si>
    <t>Desert</t>
  </si>
  <si>
    <t>Desert Traslucida</t>
  </si>
  <si>
    <t>Desert ( traslucida)</t>
  </si>
  <si>
    <t>Duna</t>
  </si>
  <si>
    <t xml:space="preserve">Caño de 45 vender a un dólar de </t>
  </si>
  <si>
    <t>externo</t>
  </si>
  <si>
    <t>Caño de 45</t>
  </si>
  <si>
    <t>Sosten Mutuo</t>
  </si>
  <si>
    <t>Black out 510g</t>
  </si>
  <si>
    <t xml:space="preserve">45 Premuim con caño de 45 </t>
  </si>
  <si>
    <t>45 Premuim con caño de 45</t>
  </si>
  <si>
    <t>Sistema 45 Premium  con caño de 45 MM</t>
  </si>
  <si>
    <t>50  con motor de 45</t>
  </si>
  <si>
    <t>Caño de 50</t>
  </si>
  <si>
    <t>1/2 iva</t>
  </si>
  <si>
    <t>SCREEN INTI 5%</t>
  </si>
  <si>
    <t>Bco/bge; bco/marron</t>
  </si>
  <si>
    <t>TSHA</t>
  </si>
  <si>
    <t>-----------</t>
  </si>
  <si>
    <t>----------</t>
  </si>
  <si>
    <t>50 con  motor 35 nuevo</t>
  </si>
  <si>
    <t>50 con  motor 45 nuevo</t>
  </si>
  <si>
    <t>50 con  motor 35 nuevo domotica</t>
  </si>
  <si>
    <t>motor + 42,85%</t>
  </si>
  <si>
    <t>Sistema Motorizado con caño de 50 y motor de 35 Nuevo tuya</t>
  </si>
  <si>
    <t>Sistema Motorizado con caño de 41 y motor de 35 a bateria</t>
  </si>
  <si>
    <t>41  con motor de 35 a baeria</t>
  </si>
  <si>
    <t>Motor + control</t>
  </si>
  <si>
    <t>Soporte doble motor</t>
  </si>
  <si>
    <t>Soporte doble para cortina motorizada</t>
  </si>
  <si>
    <t>Costo</t>
  </si>
  <si>
    <t>$ publico</t>
  </si>
  <si>
    <t>Telas</t>
  </si>
  <si>
    <t>Sistems</t>
  </si>
  <si>
    <t>perdida</t>
  </si>
  <si>
    <t>Margen</t>
  </si>
  <si>
    <t>Sistema Motorizado con caño de 50 Liso y motor de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</si>
</sst>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1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0" xfId="0" applyBorder="1"/>
    <xf numFmtId="0" fontId="3" fillId="0" borderId="0" xfId="0" applyFont="1" applyBorder="1"/>
    <xf numFmtId="1" fontId="0" fillId="0" borderId="0" xfId="0" applyNumberFormat="1" applyBorder="1"/>
    <xf numFmtId="2" fontId="0" fillId="0" borderId="0" xfId="0" applyNumberFormat="1" applyBorder="1"/>
    <xf numFmtId="2" fontId="5" fillId="0" borderId="0" xfId="0" applyNumberFormat="1" applyFont="1" applyBorder="1"/>
    <xf numFmtId="2" fontId="5" fillId="0" borderId="0" xfId="1" applyNumberFormat="1" applyFont="1" applyBorder="1"/>
    <xf numFmtId="0" fontId="0" fillId="0" borderId="0" xfId="0" applyBorder="1" applyAlignment="1"/>
    <xf numFmtId="0" fontId="0" fillId="2" borderId="1" xfId="0" applyFill="1" applyBorder="1"/>
    <xf numFmtId="2" fontId="0" fillId="2" borderId="1" xfId="0" applyNumberForma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2" fontId="0" fillId="2" borderId="1" xfId="0" applyNumberFormat="1" applyFill="1" applyBorder="1" applyAlignment="1"/>
    <xf numFmtId="0" fontId="0" fillId="3" borderId="1" xfId="0" applyFill="1" applyBorder="1"/>
    <xf numFmtId="2" fontId="0" fillId="3" borderId="1" xfId="0" applyNumberFormat="1" applyFill="1" applyBorder="1"/>
    <xf numFmtId="2" fontId="2" fillId="3" borderId="1" xfId="0" applyNumberFormat="1" applyFont="1" applyFill="1" applyBorder="1"/>
    <xf numFmtId="2" fontId="0" fillId="3" borderId="1" xfId="0" applyNumberFormat="1" applyFill="1" applyBorder="1" applyAlignment="1"/>
    <xf numFmtId="2" fontId="5" fillId="0" borderId="1" xfId="0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7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2" fontId="6" fillId="8" borderId="1" xfId="0" applyNumberFormat="1" applyFont="1" applyFill="1" applyBorder="1"/>
    <xf numFmtId="0" fontId="4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/>
    <xf numFmtId="2" fontId="5" fillId="0" borderId="10" xfId="0" applyNumberFormat="1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0" fillId="0" borderId="11" xfId="0" applyBorder="1"/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9" xfId="0" applyFont="1" applyBorder="1"/>
    <xf numFmtId="2" fontId="0" fillId="0" borderId="0" xfId="0" applyNumberFormat="1" applyBorder="1" applyAlignment="1">
      <alignment horizontal="center" vertical="center"/>
    </xf>
    <xf numFmtId="0" fontId="5" fillId="0" borderId="13" xfId="0" applyFont="1" applyBorder="1"/>
    <xf numFmtId="1" fontId="0" fillId="0" borderId="14" xfId="0" applyNumberFormat="1" applyBorder="1" applyAlignment="1">
      <alignment horizontal="center" vertical="center"/>
    </xf>
    <xf numFmtId="1" fontId="0" fillId="0" borderId="14" xfId="0" applyNumberFormat="1" applyFill="1" applyBorder="1" applyAlignment="1">
      <alignment horizontal="center" vertical="center"/>
    </xf>
    <xf numFmtId="1" fontId="0" fillId="0" borderId="15" xfId="0" applyNumberFormat="1" applyFill="1" applyBorder="1" applyAlignment="1">
      <alignment horizontal="center" vertical="center"/>
    </xf>
    <xf numFmtId="0" fontId="3" fillId="0" borderId="6" xfId="0" applyFont="1" applyBorder="1"/>
    <xf numFmtId="0" fontId="3" fillId="0" borderId="16" xfId="0" applyFont="1" applyBorder="1"/>
    <xf numFmtId="0" fontId="0" fillId="0" borderId="9" xfId="0" applyBorder="1"/>
    <xf numFmtId="0" fontId="3" fillId="0" borderId="17" xfId="0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1" fontId="0" fillId="0" borderId="1" xfId="0" applyNumberFormat="1" applyBorder="1"/>
    <xf numFmtId="0" fontId="5" fillId="0" borderId="0" xfId="0" applyFont="1" applyBorder="1"/>
    <xf numFmtId="1" fontId="0" fillId="0" borderId="0" xfId="0" applyNumberFormat="1" applyFill="1" applyBorder="1" applyAlignment="1">
      <alignment horizontal="center" vertical="center"/>
    </xf>
    <xf numFmtId="2" fontId="5" fillId="0" borderId="1" xfId="0" applyNumberFormat="1" applyFont="1" applyBorder="1"/>
    <xf numFmtId="0" fontId="5" fillId="12" borderId="1" xfId="0" applyFont="1" applyFill="1" applyBorder="1"/>
    <xf numFmtId="0" fontId="0" fillId="0" borderId="12" xfId="0" applyBorder="1"/>
    <xf numFmtId="1" fontId="0" fillId="0" borderId="14" xfId="0" applyNumberFormat="1" applyBorder="1"/>
    <xf numFmtId="0" fontId="5" fillId="0" borderId="11" xfId="0" applyFont="1" applyBorder="1"/>
    <xf numFmtId="1" fontId="0" fillId="0" borderId="12" xfId="0" applyNumberFormat="1" applyFill="1" applyBorder="1" applyAlignment="1">
      <alignment horizontal="center" vertical="center"/>
    </xf>
    <xf numFmtId="0" fontId="0" fillId="2" borderId="24" xfId="0" applyFill="1" applyBorder="1"/>
    <xf numFmtId="0" fontId="0" fillId="3" borderId="24" xfId="0" applyFill="1" applyBorder="1"/>
    <xf numFmtId="1" fontId="2" fillId="0" borderId="1" xfId="0" applyNumberFormat="1" applyFont="1" applyBorder="1"/>
    <xf numFmtId="2" fontId="2" fillId="0" borderId="1" xfId="0" applyNumberFormat="1" applyFont="1" applyBorder="1"/>
    <xf numFmtId="1" fontId="5" fillId="0" borderId="1" xfId="0" applyNumberFormat="1" applyFont="1" applyFill="1" applyBorder="1"/>
    <xf numFmtId="1" fontId="0" fillId="0" borderId="0" xfId="0" applyNumberFormat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" fontId="5" fillId="0" borderId="9" xfId="0" applyNumberFormat="1" applyFont="1" applyFill="1" applyBorder="1"/>
    <xf numFmtId="1" fontId="5" fillId="0" borderId="11" xfId="0" applyNumberFormat="1" applyFont="1" applyFill="1" applyBorder="1"/>
    <xf numFmtId="2" fontId="5" fillId="0" borderId="22" xfId="0" applyNumberFormat="1" applyFont="1" applyBorder="1" applyAlignment="1">
      <alignment horizontal="center" vertical="center"/>
    </xf>
    <xf numFmtId="2" fontId="5" fillId="0" borderId="22" xfId="1" applyNumberFormat="1" applyFont="1" applyBorder="1" applyAlignment="1">
      <alignment horizontal="center" vertical="center"/>
    </xf>
    <xf numFmtId="2" fontId="5" fillId="0" borderId="26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9" fillId="14" borderId="1" xfId="0" applyNumberFormat="1" applyFont="1" applyFill="1" applyBorder="1"/>
    <xf numFmtId="0" fontId="0" fillId="15" borderId="1" xfId="0" applyFill="1" applyBorder="1"/>
    <xf numFmtId="2" fontId="0" fillId="15" borderId="1" xfId="0" applyNumberFormat="1" applyFill="1" applyBorder="1" applyAlignment="1"/>
    <xf numFmtId="2" fontId="0" fillId="15" borderId="1" xfId="0" applyNumberFormat="1" applyFill="1" applyBorder="1"/>
    <xf numFmtId="2" fontId="2" fillId="15" borderId="1" xfId="0" applyNumberFormat="1" applyFont="1" applyFill="1" applyBorder="1"/>
    <xf numFmtId="0" fontId="12" fillId="16" borderId="1" xfId="0" applyFont="1" applyFill="1" applyBorder="1"/>
    <xf numFmtId="0" fontId="0" fillId="0" borderId="0" xfId="0" applyBorder="1" applyAlignment="1">
      <alignment horizontal="center"/>
    </xf>
    <xf numFmtId="2" fontId="6" fillId="8" borderId="24" xfId="0" applyNumberFormat="1" applyFont="1" applyFill="1" applyBorder="1"/>
    <xf numFmtId="3" fontId="0" fillId="0" borderId="0" xfId="0" applyNumberFormat="1" applyBorder="1" applyAlignment="1">
      <alignment horizontal="center" vertical="center"/>
    </xf>
    <xf numFmtId="0" fontId="0" fillId="7" borderId="0" xfId="0" applyFill="1" applyBorder="1"/>
    <xf numFmtId="2" fontId="6" fillId="8" borderId="0" xfId="0" applyNumberFormat="1" applyFont="1" applyFill="1" applyBorder="1"/>
    <xf numFmtId="0" fontId="0" fillId="0" borderId="30" xfId="0" applyBorder="1"/>
    <xf numFmtId="2" fontId="0" fillId="0" borderId="21" xfId="0" applyNumberFormat="1" applyBorder="1"/>
    <xf numFmtId="0" fontId="0" fillId="0" borderId="1" xfId="0" applyFill="1" applyBorder="1"/>
    <xf numFmtId="0" fontId="0" fillId="7" borderId="9" xfId="0" applyFill="1" applyBorder="1"/>
    <xf numFmtId="2" fontId="0" fillId="7" borderId="1" xfId="0" applyNumberFormat="1" applyFill="1" applyBorder="1"/>
    <xf numFmtId="3" fontId="0" fillId="7" borderId="2" xfId="0" applyNumberFormat="1" applyFill="1" applyBorder="1" applyAlignment="1">
      <alignment horizontal="center" vertical="center"/>
    </xf>
    <xf numFmtId="3" fontId="0" fillId="7" borderId="18" xfId="0" applyNumberFormat="1" applyFill="1" applyBorder="1" applyAlignment="1">
      <alignment horizontal="center" vertical="center"/>
    </xf>
    <xf numFmtId="2" fontId="9" fillId="13" borderId="1" xfId="0" applyNumberFormat="1" applyFont="1" applyFill="1" applyBorder="1"/>
    <xf numFmtId="0" fontId="3" fillId="7" borderId="4" xfId="0" applyFont="1" applyFill="1" applyBorder="1"/>
    <xf numFmtId="0" fontId="0" fillId="7" borderId="4" xfId="0" applyFill="1" applyBorder="1"/>
    <xf numFmtId="0" fontId="0" fillId="7" borderId="30" xfId="0" applyFill="1" applyBorder="1"/>
    <xf numFmtId="1" fontId="0" fillId="0" borderId="21" xfId="0" applyNumberFormat="1" applyBorder="1" applyAlignment="1">
      <alignment horizontal="center" vertical="center"/>
    </xf>
    <xf numFmtId="1" fontId="0" fillId="0" borderId="2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" xfId="0" applyFont="1" applyBorder="1"/>
    <xf numFmtId="0" fontId="14" fillId="17" borderId="25" xfId="0" applyFont="1" applyFill="1" applyBorder="1"/>
    <xf numFmtId="2" fontId="9" fillId="17" borderId="17" xfId="0" applyNumberFormat="1" applyFont="1" applyFill="1" applyBorder="1" applyAlignment="1">
      <alignment horizontal="center" vertical="center"/>
    </xf>
    <xf numFmtId="2" fontId="9" fillId="17" borderId="27" xfId="0" applyNumberFormat="1" applyFont="1" applyFill="1" applyBorder="1" applyAlignment="1">
      <alignment horizontal="center" vertical="center"/>
    </xf>
    <xf numFmtId="0" fontId="9" fillId="17" borderId="28" xfId="0" applyFont="1" applyFill="1" applyBorder="1" applyAlignment="1">
      <alignment horizontal="center" vertical="center"/>
    </xf>
    <xf numFmtId="0" fontId="9" fillId="17" borderId="19" xfId="0" applyFont="1" applyFill="1" applyBorder="1"/>
    <xf numFmtId="0" fontId="9" fillId="17" borderId="20" xfId="0" applyFont="1" applyFill="1" applyBorder="1"/>
    <xf numFmtId="0" fontId="9" fillId="17" borderId="29" xfId="0" applyFont="1" applyFill="1" applyBorder="1"/>
    <xf numFmtId="1" fontId="9" fillId="17" borderId="0" xfId="0" applyNumberFormat="1" applyFont="1" applyFill="1" applyBorder="1" applyAlignment="1">
      <alignment horizontal="center" vertical="center"/>
    </xf>
    <xf numFmtId="1" fontId="9" fillId="17" borderId="12" xfId="0" applyNumberFormat="1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vertical="top" wrapText="1"/>
    </xf>
    <xf numFmtId="0" fontId="0" fillId="0" borderId="0" xfId="0" applyFill="1" applyBorder="1"/>
    <xf numFmtId="0" fontId="0" fillId="0" borderId="21" xfId="0" applyFill="1" applyBorder="1"/>
    <xf numFmtId="0" fontId="0" fillId="12" borderId="1" xfId="0" applyFill="1" applyBorder="1"/>
    <xf numFmtId="3" fontId="0" fillId="0" borderId="1" xfId="0" applyNumberFormat="1" applyBorder="1" applyAlignment="1">
      <alignment horizontal="center" vertical="center"/>
    </xf>
    <xf numFmtId="10" fontId="0" fillId="0" borderId="2" xfId="0" applyNumberFormat="1" applyBorder="1"/>
    <xf numFmtId="0" fontId="0" fillId="7" borderId="32" xfId="0" applyFill="1" applyBorder="1"/>
    <xf numFmtId="0" fontId="0" fillId="18" borderId="1" xfId="0" applyFill="1" applyBorder="1"/>
    <xf numFmtId="2" fontId="0" fillId="18" borderId="1" xfId="0" applyNumberFormat="1" applyFill="1" applyBorder="1"/>
    <xf numFmtId="3" fontId="0" fillId="18" borderId="1" xfId="0" applyNumberFormat="1" applyFill="1" applyBorder="1" applyAlignment="1">
      <alignment horizontal="center" vertical="center"/>
    </xf>
    <xf numFmtId="0" fontId="5" fillId="0" borderId="30" xfId="0" applyFont="1" applyBorder="1"/>
    <xf numFmtId="0" fontId="10" fillId="0" borderId="6" xfId="0" applyFont="1" applyFill="1" applyBorder="1"/>
    <xf numFmtId="0" fontId="0" fillId="0" borderId="33" xfId="0" applyFont="1" applyBorder="1"/>
    <xf numFmtId="0" fontId="11" fillId="0" borderId="9" xfId="0" applyFont="1" applyFill="1" applyBorder="1"/>
    <xf numFmtId="1" fontId="0" fillId="0" borderId="10" xfId="0" applyNumberFormat="1" applyFont="1" applyBorder="1"/>
    <xf numFmtId="0" fontId="11" fillId="0" borderId="13" xfId="0" applyFont="1" applyFill="1" applyBorder="1"/>
    <xf numFmtId="1" fontId="0" fillId="0" borderId="15" xfId="0" applyNumberFormat="1" applyFont="1" applyBorder="1"/>
    <xf numFmtId="3" fontId="0" fillId="0" borderId="0" xfId="0" applyNumberFormat="1"/>
    <xf numFmtId="1" fontId="0" fillId="0" borderId="0" xfId="0" applyNumberFormat="1"/>
    <xf numFmtId="0" fontId="2" fillId="0" borderId="25" xfId="0" applyFont="1" applyBorder="1" applyAlignment="1">
      <alignment horizontal="center" vertical="center" wrapText="1"/>
    </xf>
    <xf numFmtId="1" fontId="0" fillId="0" borderId="34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0" fillId="12" borderId="1" xfId="0" applyNumberFormat="1" applyFill="1" applyBorder="1"/>
    <xf numFmtId="3" fontId="0" fillId="12" borderId="1" xfId="0" applyNumberFormat="1" applyFill="1" applyBorder="1" applyAlignment="1">
      <alignment horizontal="center" vertical="center"/>
    </xf>
    <xf numFmtId="0" fontId="0" fillId="0" borderId="0" xfId="0" applyFill="1" applyBorder="1" applyAlignment="1"/>
    <xf numFmtId="0" fontId="15" fillId="19" borderId="23" xfId="0" applyFont="1" applyFill="1" applyBorder="1" applyAlignment="1">
      <alignment wrapText="1"/>
    </xf>
    <xf numFmtId="0" fontId="16" fillId="12" borderId="25" xfId="0" applyFont="1" applyFill="1" applyBorder="1"/>
    <xf numFmtId="0" fontId="15" fillId="19" borderId="0" xfId="0" applyFont="1" applyFill="1" applyAlignment="1">
      <alignment wrapText="1"/>
    </xf>
    <xf numFmtId="1" fontId="0" fillId="0" borderId="21" xfId="0" applyNumberFormat="1" applyBorder="1"/>
    <xf numFmtId="1" fontId="0" fillId="0" borderId="35" xfId="0" applyNumberFormat="1" applyFill="1" applyBorder="1" applyAlignment="1">
      <alignment horizontal="center" vertical="center"/>
    </xf>
    <xf numFmtId="0" fontId="5" fillId="0" borderId="5" xfId="0" applyFont="1" applyBorder="1"/>
    <xf numFmtId="1" fontId="0" fillId="0" borderId="5" xfId="0" applyNumberFormat="1" applyBorder="1"/>
    <xf numFmtId="1" fontId="2" fillId="0" borderId="5" xfId="0" applyNumberFormat="1" applyFont="1" applyBorder="1" applyAlignment="1">
      <alignment horizontal="center" vertical="center"/>
    </xf>
    <xf numFmtId="0" fontId="5" fillId="0" borderId="1" xfId="0" applyFont="1" applyBorder="1"/>
    <xf numFmtId="2" fontId="6" fillId="8" borderId="37" xfId="0" applyNumberFormat="1" applyFont="1" applyFill="1" applyBorder="1"/>
    <xf numFmtId="1" fontId="0" fillId="0" borderId="34" xfId="0" quotePrefix="1" applyNumberFormat="1" applyBorder="1"/>
    <xf numFmtId="0" fontId="3" fillId="0" borderId="1" xfId="0" applyFont="1" applyFill="1" applyBorder="1"/>
    <xf numFmtId="0" fontId="0" fillId="0" borderId="1" xfId="0" applyFill="1" applyBorder="1" applyAlignment="1">
      <alignment wrapText="1"/>
    </xf>
    <xf numFmtId="0" fontId="17" fillId="18" borderId="9" xfId="0" applyFont="1" applyFill="1" applyBorder="1"/>
    <xf numFmtId="2" fontId="17" fillId="18" borderId="1" xfId="0" applyNumberFormat="1" applyFont="1" applyFill="1" applyBorder="1"/>
    <xf numFmtId="1" fontId="17" fillId="18" borderId="0" xfId="0" applyNumberFormat="1" applyFont="1" applyFill="1" applyBorder="1" applyAlignment="1">
      <alignment horizontal="center"/>
    </xf>
    <xf numFmtId="3" fontId="17" fillId="18" borderId="2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/>
    <xf numFmtId="4" fontId="0" fillId="0" borderId="0" xfId="0" applyNumberFormat="1"/>
    <xf numFmtId="2" fontId="0" fillId="0" borderId="0" xfId="0" applyNumberFormat="1" applyFill="1" applyBorder="1"/>
    <xf numFmtId="2" fontId="0" fillId="0" borderId="1" xfId="0" applyNumberFormat="1" applyFill="1" applyBorder="1"/>
    <xf numFmtId="2" fontId="2" fillId="7" borderId="1" xfId="0" applyNumberFormat="1" applyFont="1" applyFill="1" applyBorder="1"/>
    <xf numFmtId="2" fontId="3" fillId="7" borderId="1" xfId="0" applyNumberFormat="1" applyFont="1" applyFill="1" applyBorder="1"/>
    <xf numFmtId="0" fontId="18" fillId="9" borderId="1" xfId="0" applyFont="1" applyFill="1" applyBorder="1"/>
    <xf numFmtId="2" fontId="18" fillId="9" borderId="1" xfId="0" applyNumberFormat="1" applyFont="1" applyFill="1" applyBorder="1"/>
    <xf numFmtId="0" fontId="9" fillId="0" borderId="0" xfId="0" applyFont="1"/>
    <xf numFmtId="0" fontId="6" fillId="20" borderId="1" xfId="0" applyFont="1" applyFill="1" applyBorder="1"/>
    <xf numFmtId="0" fontId="9" fillId="20" borderId="1" xfId="0" applyFont="1" applyFill="1" applyBorder="1"/>
    <xf numFmtId="0" fontId="0" fillId="7" borderId="21" xfId="0" applyFill="1" applyBorder="1"/>
    <xf numFmtId="2" fontId="0" fillId="7" borderId="21" xfId="0" applyNumberFormat="1" applyFill="1" applyBorder="1"/>
    <xf numFmtId="3" fontId="0" fillId="7" borderId="3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" fontId="0" fillId="7" borderId="34" xfId="0" applyNumberFormat="1" applyFill="1" applyBorder="1"/>
    <xf numFmtId="1" fontId="0" fillId="7" borderId="34" xfId="0" quotePrefix="1" applyNumberFormat="1" applyFill="1" applyBorder="1"/>
    <xf numFmtId="1" fontId="0" fillId="12" borderId="34" xfId="0" applyNumberFormat="1" applyFill="1" applyBorder="1"/>
    <xf numFmtId="0" fontId="13" fillId="8" borderId="1" xfId="0" applyFont="1" applyFill="1" applyBorder="1" applyAlignment="1">
      <alignment horizontal="center"/>
    </xf>
    <xf numFmtId="0" fontId="8" fillId="11" borderId="23" xfId="0" applyFont="1" applyFill="1" applyBorder="1" applyAlignment="1">
      <alignment horizontal="center" vertical="top" wrapText="1"/>
    </xf>
    <xf numFmtId="0" fontId="8" fillId="11" borderId="0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3" fillId="9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14" fillId="17" borderId="1" xfId="0" applyFont="1" applyFill="1" applyBorder="1" applyAlignment="1">
      <alignment horizontal="center"/>
    </xf>
    <xf numFmtId="0" fontId="17" fillId="18" borderId="2" xfId="0" applyFont="1" applyFill="1" applyBorder="1" applyAlignment="1">
      <alignment horizontal="center"/>
    </xf>
    <xf numFmtId="0" fontId="17" fillId="18" borderId="3" xfId="0" applyFont="1" applyFill="1" applyBorder="1" applyAlignment="1">
      <alignment horizontal="center"/>
    </xf>
    <xf numFmtId="0" fontId="17" fillId="18" borderId="4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left"/>
    </xf>
    <xf numFmtId="0" fontId="14" fillId="17" borderId="2" xfId="0" applyFont="1" applyFill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18" borderId="1" xfId="0" applyFill="1" applyBorder="1" applyAlignment="1">
      <alignment horizont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" fontId="0" fillId="0" borderId="2" xfId="0" applyNumberForma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1" fontId="0" fillId="0" borderId="36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3"/>
  <sheetViews>
    <sheetView tabSelected="1" topLeftCell="A11" zoomScaleNormal="100" workbookViewId="0">
      <selection activeCell="F27" sqref="F27"/>
    </sheetView>
  </sheetViews>
  <sheetFormatPr baseColWidth="10" defaultRowHeight="15" x14ac:dyDescent="0.25"/>
  <cols>
    <col min="1" max="1" width="24.7109375" customWidth="1"/>
    <col min="2" max="2" width="6.85546875" customWidth="1"/>
    <col min="3" max="3" width="7.42578125" customWidth="1"/>
    <col min="4" max="4" width="8.28515625" customWidth="1"/>
    <col min="5" max="5" width="7.140625" customWidth="1"/>
    <col min="6" max="7" width="8.85546875" customWidth="1"/>
    <col min="8" max="17" width="7" bestFit="1" customWidth="1"/>
    <col min="18" max="18" width="7.5703125" bestFit="1" customWidth="1"/>
    <col min="19" max="19" width="38.140625" bestFit="1" customWidth="1"/>
    <col min="20" max="20" width="7.5703125" bestFit="1" customWidth="1"/>
    <col min="21" max="21" width="11.7109375" customWidth="1"/>
    <col min="22" max="22" width="38.140625" bestFit="1" customWidth="1"/>
    <col min="23" max="23" width="8.85546875" bestFit="1" customWidth="1"/>
    <col min="24" max="24" width="7.85546875" bestFit="1" customWidth="1"/>
    <col min="25" max="25" width="8.140625" bestFit="1" customWidth="1"/>
    <col min="26" max="26" width="7.85546875" bestFit="1" customWidth="1"/>
    <col min="27" max="27" width="7.5703125" bestFit="1" customWidth="1"/>
    <col min="28" max="28" width="7.85546875" bestFit="1" customWidth="1"/>
    <col min="29" max="29" width="7.5703125" bestFit="1" customWidth="1"/>
    <col min="30" max="30" width="7.85546875" bestFit="1" customWidth="1"/>
    <col min="31" max="31" width="7.5703125" bestFit="1" customWidth="1"/>
    <col min="32" max="32" width="7.85546875" bestFit="1" customWidth="1"/>
    <col min="33" max="33" width="7.5703125" bestFit="1" customWidth="1"/>
    <col min="34" max="34" width="7.85546875" bestFit="1" customWidth="1"/>
    <col min="35" max="35" width="7.5703125" bestFit="1" customWidth="1"/>
    <col min="36" max="36" width="7.85546875" bestFit="1" customWidth="1"/>
    <col min="37" max="38" width="13.42578125" bestFit="1" customWidth="1"/>
    <col min="39" max="39" width="17.5703125" bestFit="1" customWidth="1"/>
    <col min="40" max="41" width="0" hidden="1" customWidth="1"/>
    <col min="42" max="42" width="7.5703125" bestFit="1" customWidth="1"/>
    <col min="43" max="43" width="7.85546875" bestFit="1" customWidth="1"/>
    <col min="44" max="44" width="9.5703125" customWidth="1"/>
    <col min="45" max="45" width="9.42578125" customWidth="1"/>
    <col min="46" max="47" width="14.5703125" customWidth="1"/>
    <col min="52" max="52" width="24" bestFit="1" customWidth="1"/>
    <col min="53" max="53" width="15" customWidth="1"/>
    <col min="54" max="54" width="14.85546875" customWidth="1"/>
    <col min="55" max="55" width="16.28515625" customWidth="1"/>
  </cols>
  <sheetData>
    <row r="1" spans="1:56" ht="28.5" customHeight="1" x14ac:dyDescent="0.25">
      <c r="A1" s="42" t="s">
        <v>0</v>
      </c>
      <c r="B1" s="43" t="s">
        <v>1</v>
      </c>
      <c r="C1" s="184" t="s">
        <v>2</v>
      </c>
      <c r="D1" s="184"/>
      <c r="E1" s="184"/>
      <c r="F1" s="45" t="s">
        <v>40</v>
      </c>
      <c r="G1" s="125" t="s">
        <v>41</v>
      </c>
      <c r="H1" s="127"/>
      <c r="I1" s="3"/>
      <c r="J1" s="3"/>
      <c r="K1" s="3"/>
      <c r="M1" s="4"/>
      <c r="N1" s="4"/>
      <c r="O1" s="4"/>
      <c r="P1" s="3"/>
      <c r="Q1" s="3"/>
      <c r="R1" s="1" t="s">
        <v>81</v>
      </c>
      <c r="S1" s="90" t="s">
        <v>0</v>
      </c>
      <c r="T1" s="25" t="s">
        <v>19</v>
      </c>
      <c r="U1" s="144" t="s">
        <v>135</v>
      </c>
      <c r="V1" s="196" t="s">
        <v>37</v>
      </c>
      <c r="W1" s="185" t="s">
        <v>85</v>
      </c>
      <c r="X1" s="185"/>
      <c r="Y1" s="182">
        <v>32</v>
      </c>
      <c r="Z1" s="182"/>
      <c r="AA1" s="183">
        <v>41</v>
      </c>
      <c r="AB1" s="183"/>
      <c r="AC1" s="181" t="s">
        <v>46</v>
      </c>
      <c r="AD1" s="181"/>
      <c r="AE1" s="181" t="s">
        <v>47</v>
      </c>
      <c r="AF1" s="181"/>
      <c r="AG1" s="180" t="s">
        <v>51</v>
      </c>
      <c r="AH1" s="180"/>
      <c r="AI1" s="180" t="s">
        <v>50</v>
      </c>
      <c r="AJ1" s="180"/>
      <c r="AK1" s="169" t="s">
        <v>52</v>
      </c>
      <c r="AL1" s="170"/>
      <c r="AM1" s="170"/>
      <c r="AN1" s="106"/>
      <c r="AO1" s="106"/>
      <c r="AP1" s="168" t="s">
        <v>86</v>
      </c>
      <c r="AQ1" s="168"/>
      <c r="AR1" s="132" t="s">
        <v>112</v>
      </c>
      <c r="AS1" s="134" t="s">
        <v>115</v>
      </c>
      <c r="AT1" s="149" t="s">
        <v>145</v>
      </c>
      <c r="AU1" s="149" t="s">
        <v>146</v>
      </c>
      <c r="AV1" s="149" t="s">
        <v>162</v>
      </c>
      <c r="AW1" s="149" t="s">
        <v>162</v>
      </c>
      <c r="AX1" s="149" t="s">
        <v>148</v>
      </c>
      <c r="AY1" s="149" t="s">
        <v>148</v>
      </c>
      <c r="BA1" s="149" t="s">
        <v>156</v>
      </c>
      <c r="BB1" s="149" t="s">
        <v>156</v>
      </c>
      <c r="BC1" s="149" t="s">
        <v>158</v>
      </c>
      <c r="BD1" s="149" t="s">
        <v>157</v>
      </c>
    </row>
    <row r="2" spans="1:56" x14ac:dyDescent="0.25">
      <c r="A2" s="85" t="s">
        <v>153</v>
      </c>
      <c r="B2" s="86">
        <v>2</v>
      </c>
      <c r="C2" s="171" t="s">
        <v>3</v>
      </c>
      <c r="D2" s="171"/>
      <c r="E2" s="171"/>
      <c r="F2" s="87">
        <f>R8*T2*U2</f>
        <v>17979.259804000001</v>
      </c>
      <c r="G2" s="165">
        <f>F2*(1+10%)</f>
        <v>19777.185784400004</v>
      </c>
      <c r="H2" s="128">
        <v>1</v>
      </c>
      <c r="I2" s="3"/>
      <c r="J2" s="3"/>
      <c r="K2" s="3"/>
      <c r="M2" s="3"/>
      <c r="N2" s="3"/>
      <c r="O2" s="5"/>
      <c r="P2" s="3"/>
      <c r="Q2" s="3"/>
      <c r="R2" s="96" t="s">
        <v>17</v>
      </c>
      <c r="S2" s="91" t="s">
        <v>153</v>
      </c>
      <c r="T2" s="26">
        <f>W37*X37*Y37*Z37</f>
        <v>9.2395599999999991</v>
      </c>
      <c r="U2" s="1">
        <v>1.3420000000000001</v>
      </c>
      <c r="V2" s="197"/>
      <c r="W2" s="10" t="s">
        <v>21</v>
      </c>
      <c r="X2" s="15" t="s">
        <v>22</v>
      </c>
      <c r="Y2" s="72" t="s">
        <v>21</v>
      </c>
      <c r="Z2" s="15" t="s">
        <v>22</v>
      </c>
      <c r="AA2" s="72" t="s">
        <v>21</v>
      </c>
      <c r="AB2" s="15" t="s">
        <v>22</v>
      </c>
      <c r="AC2" s="72" t="s">
        <v>21</v>
      </c>
      <c r="AD2" s="15" t="s">
        <v>22</v>
      </c>
      <c r="AE2" s="72" t="s">
        <v>21</v>
      </c>
      <c r="AF2" s="15" t="s">
        <v>22</v>
      </c>
      <c r="AG2" s="72" t="s">
        <v>21</v>
      </c>
      <c r="AH2" s="15" t="s">
        <v>22</v>
      </c>
      <c r="AI2" s="10" t="s">
        <v>21</v>
      </c>
      <c r="AJ2" s="15" t="s">
        <v>22</v>
      </c>
      <c r="AK2" s="56" t="s">
        <v>56</v>
      </c>
      <c r="AL2" s="57" t="s">
        <v>57</v>
      </c>
      <c r="AM2" s="10" t="s">
        <v>82</v>
      </c>
      <c r="AP2" s="72" t="str">
        <f>AA2</f>
        <v>interno</v>
      </c>
      <c r="AQ2" s="15" t="str">
        <f>AB2</f>
        <v>Externo</v>
      </c>
      <c r="AR2" s="72" t="str">
        <f>AC2</f>
        <v>interno</v>
      </c>
      <c r="AS2" s="15" t="str">
        <f>AD2</f>
        <v>Externo</v>
      </c>
      <c r="AT2" t="s">
        <v>21</v>
      </c>
      <c r="AU2" s="123" t="s">
        <v>141</v>
      </c>
      <c r="AV2" t="s">
        <v>21</v>
      </c>
      <c r="AW2" s="123" t="s">
        <v>141</v>
      </c>
      <c r="AX2" t="s">
        <v>21</v>
      </c>
      <c r="AY2" s="123" t="s">
        <v>141</v>
      </c>
      <c r="BA2" s="123" t="s">
        <v>21</v>
      </c>
      <c r="BB2" t="s">
        <v>22</v>
      </c>
    </row>
    <row r="3" spans="1:56" x14ac:dyDescent="0.25">
      <c r="A3" s="44" t="s">
        <v>4</v>
      </c>
      <c r="B3" s="2">
        <v>2</v>
      </c>
      <c r="C3" s="173" t="s">
        <v>3</v>
      </c>
      <c r="D3" s="173"/>
      <c r="E3" s="173"/>
      <c r="F3" s="46">
        <f>R3*T3*U2</f>
        <v>23394.699504</v>
      </c>
      <c r="G3" s="126">
        <f t="shared" ref="G3:G4" si="0">F3*(1+10%)</f>
        <v>25734.169454400002</v>
      </c>
      <c r="H3" s="128">
        <v>2</v>
      </c>
      <c r="I3" s="3"/>
      <c r="J3" s="3"/>
      <c r="K3" s="3"/>
      <c r="L3" s="3"/>
      <c r="M3" s="3"/>
      <c r="N3" s="3"/>
      <c r="O3" s="5"/>
      <c r="P3" s="3"/>
      <c r="Q3" s="3"/>
      <c r="R3" s="1">
        <v>1450</v>
      </c>
      <c r="S3" s="91" t="s">
        <v>4</v>
      </c>
      <c r="T3" s="26">
        <f t="shared" ref="T3:T33" si="1">W38*X38*Y38*Z38</f>
        <v>12.022559999999999</v>
      </c>
      <c r="U3" s="3"/>
      <c r="V3" s="24" t="s">
        <v>23</v>
      </c>
      <c r="W3" s="11">
        <v>2.2999999999999998</v>
      </c>
      <c r="X3" s="16">
        <f>W3</f>
        <v>2.2999999999999998</v>
      </c>
      <c r="Y3" s="73">
        <v>2.0499999999999998</v>
      </c>
      <c r="Z3" s="16">
        <f>Y3</f>
        <v>2.0499999999999998</v>
      </c>
      <c r="AA3" s="73">
        <v>3.45</v>
      </c>
      <c r="AB3" s="18">
        <f>AA3</f>
        <v>3.45</v>
      </c>
      <c r="AC3" s="74">
        <v>3.5</v>
      </c>
      <c r="AD3" s="16">
        <f>AC3</f>
        <v>3.5</v>
      </c>
      <c r="AE3" s="74">
        <v>4</v>
      </c>
      <c r="AF3" s="16">
        <f>AE3</f>
        <v>4</v>
      </c>
      <c r="AG3" s="74">
        <v>7</v>
      </c>
      <c r="AH3" s="16">
        <f>AG3</f>
        <v>7</v>
      </c>
      <c r="AI3" s="14">
        <v>8.77</v>
      </c>
      <c r="AJ3" s="18">
        <f>AI3</f>
        <v>8.77</v>
      </c>
      <c r="AK3" s="11">
        <v>3.63</v>
      </c>
      <c r="AL3" s="18">
        <v>6.11</v>
      </c>
      <c r="AM3" s="10">
        <v>4.24</v>
      </c>
      <c r="AP3" s="74">
        <v>3</v>
      </c>
      <c r="AQ3" s="16">
        <f>AP3</f>
        <v>3</v>
      </c>
      <c r="AR3" s="72">
        <v>12</v>
      </c>
      <c r="AS3" s="15">
        <v>7.5</v>
      </c>
      <c r="AT3" s="150">
        <v>5.2</v>
      </c>
      <c r="AU3" s="151">
        <v>5.2</v>
      </c>
      <c r="AV3" s="150">
        <v>85.51</v>
      </c>
      <c r="AW3" s="150">
        <f>AV3</f>
        <v>85.51</v>
      </c>
      <c r="AX3" s="152">
        <v>69.61</v>
      </c>
      <c r="AY3" s="152">
        <v>69.61</v>
      </c>
      <c r="AZ3" s="24" t="s">
        <v>163</v>
      </c>
      <c r="BA3" s="24">
        <v>60.71</v>
      </c>
      <c r="BB3" s="153">
        <v>60.71</v>
      </c>
    </row>
    <row r="4" spans="1:56" x14ac:dyDescent="0.25">
      <c r="A4" s="44" t="s">
        <v>20</v>
      </c>
      <c r="B4" s="2">
        <v>2.8</v>
      </c>
      <c r="C4" s="173" t="s">
        <v>3</v>
      </c>
      <c r="D4" s="173"/>
      <c r="E4" s="173"/>
      <c r="F4" s="46">
        <f>R3*T4*U2</f>
        <v>24607.757996799999</v>
      </c>
      <c r="G4" s="126">
        <f t="shared" si="0"/>
        <v>27068.533796480002</v>
      </c>
      <c r="H4" s="128">
        <v>3</v>
      </c>
      <c r="I4" s="3"/>
      <c r="J4" s="3"/>
      <c r="K4" s="3"/>
      <c r="L4" s="3"/>
      <c r="M4" s="3"/>
      <c r="N4" s="3"/>
      <c r="O4" s="5"/>
      <c r="P4" s="3"/>
      <c r="Q4" s="3"/>
      <c r="R4" s="1" t="s">
        <v>143</v>
      </c>
      <c r="S4" s="91" t="s">
        <v>20</v>
      </c>
      <c r="T4" s="26">
        <f t="shared" si="1"/>
        <v>12.645951999999998</v>
      </c>
      <c r="U4" s="3"/>
      <c r="V4" s="24" t="s">
        <v>24</v>
      </c>
      <c r="W4" s="11">
        <v>3.16</v>
      </c>
      <c r="X4" s="16">
        <v>3.16</v>
      </c>
      <c r="Y4" s="73">
        <f>X4</f>
        <v>3.16</v>
      </c>
      <c r="Z4" s="16">
        <f>Y4</f>
        <v>3.16</v>
      </c>
      <c r="AA4" s="73">
        <v>3.33</v>
      </c>
      <c r="AB4" s="18">
        <f>AA4</f>
        <v>3.33</v>
      </c>
      <c r="AC4" s="74">
        <f>Z4</f>
        <v>3.16</v>
      </c>
      <c r="AD4" s="16">
        <f>AC4</f>
        <v>3.16</v>
      </c>
      <c r="AE4" s="73">
        <f>AB4</f>
        <v>3.33</v>
      </c>
      <c r="AF4" s="18">
        <f>AE4</f>
        <v>3.33</v>
      </c>
      <c r="AG4" s="74">
        <f>W4*2</f>
        <v>6.32</v>
      </c>
      <c r="AH4" s="16">
        <f t="shared" ref="AG4:AJ9" si="2">Z4*2</f>
        <v>6.32</v>
      </c>
      <c r="AI4" s="14">
        <f t="shared" si="2"/>
        <v>6.66</v>
      </c>
      <c r="AJ4" s="18">
        <f t="shared" si="2"/>
        <v>6.66</v>
      </c>
      <c r="AP4" s="74">
        <f>AA4</f>
        <v>3.33</v>
      </c>
      <c r="AQ4" s="16">
        <f t="shared" ref="AQ4:AQ9" si="3">AB4</f>
        <v>3.33</v>
      </c>
      <c r="AR4" s="74">
        <f t="shared" ref="AR4:AS9" si="4">AI4</f>
        <v>6.66</v>
      </c>
      <c r="AS4" s="16">
        <f t="shared" si="4"/>
        <v>6.66</v>
      </c>
      <c r="AT4" s="150">
        <v>5.0199999999999996</v>
      </c>
      <c r="AU4" s="151">
        <f>AT4</f>
        <v>5.0199999999999996</v>
      </c>
      <c r="AV4" s="150">
        <f>AA4</f>
        <v>3.33</v>
      </c>
      <c r="AW4" s="150">
        <f>AV4</f>
        <v>3.33</v>
      </c>
      <c r="AX4" s="150">
        <v>5.05</v>
      </c>
      <c r="AY4" s="150">
        <v>5.05</v>
      </c>
      <c r="AZ4" s="24" t="s">
        <v>24</v>
      </c>
      <c r="BA4" s="86">
        <v>6.02</v>
      </c>
      <c r="BB4" s="2">
        <f>BA4</f>
        <v>6.02</v>
      </c>
    </row>
    <row r="5" spans="1:56" ht="15.75" x14ac:dyDescent="0.25">
      <c r="A5" s="44" t="s">
        <v>5</v>
      </c>
      <c r="B5" s="2">
        <v>2</v>
      </c>
      <c r="C5" s="174" t="s">
        <v>6</v>
      </c>
      <c r="D5" s="175"/>
      <c r="E5" s="176"/>
      <c r="F5" s="46">
        <f>R3*T5*U2</f>
        <v>28160.28644</v>
      </c>
      <c r="G5" s="142" t="s">
        <v>155</v>
      </c>
      <c r="H5" s="128">
        <v>4</v>
      </c>
      <c r="I5" s="3"/>
      <c r="J5" s="3"/>
      <c r="K5" s="3"/>
      <c r="L5" s="3"/>
      <c r="M5" s="3"/>
      <c r="N5" s="3"/>
      <c r="O5" s="5"/>
      <c r="P5" s="3"/>
      <c r="Q5" s="3"/>
      <c r="R5" s="143" t="s">
        <v>169</v>
      </c>
      <c r="S5" s="91" t="s">
        <v>5</v>
      </c>
      <c r="T5" s="26">
        <f t="shared" si="1"/>
        <v>14.471599999999999</v>
      </c>
      <c r="U5" s="3"/>
      <c r="V5" s="24" t="s">
        <v>25</v>
      </c>
      <c r="W5" s="11">
        <v>2.11</v>
      </c>
      <c r="X5" s="16">
        <v>3.4</v>
      </c>
      <c r="Y5" s="74">
        <v>2.11</v>
      </c>
      <c r="Z5" s="16">
        <v>3.4</v>
      </c>
      <c r="AA5" s="74">
        <f t="shared" ref="AA5:AF5" si="5">Y5</f>
        <v>2.11</v>
      </c>
      <c r="AB5" s="16">
        <f t="shared" si="5"/>
        <v>3.4</v>
      </c>
      <c r="AC5" s="74">
        <f t="shared" si="5"/>
        <v>2.11</v>
      </c>
      <c r="AD5" s="16">
        <f t="shared" si="5"/>
        <v>3.4</v>
      </c>
      <c r="AE5" s="74">
        <f t="shared" si="5"/>
        <v>2.11</v>
      </c>
      <c r="AF5" s="16">
        <f t="shared" si="5"/>
        <v>3.4</v>
      </c>
      <c r="AG5" s="74">
        <f>AE5*2</f>
        <v>4.22</v>
      </c>
      <c r="AH5" s="16">
        <f>AF5*2</f>
        <v>6.8</v>
      </c>
      <c r="AI5" s="11">
        <f>AG5</f>
        <v>4.22</v>
      </c>
      <c r="AJ5" s="16">
        <f>AH5</f>
        <v>6.8</v>
      </c>
      <c r="AL5" s="200" t="s">
        <v>164</v>
      </c>
      <c r="AM5" s="200"/>
      <c r="AP5" s="74">
        <f t="shared" ref="AP5:AP9" si="6">AA5</f>
        <v>2.11</v>
      </c>
      <c r="AQ5" s="16">
        <f t="shared" si="3"/>
        <v>3.4</v>
      </c>
      <c r="AR5" s="74">
        <f>AP5*2</f>
        <v>4.22</v>
      </c>
      <c r="AS5" s="16">
        <f>AQ5*2</f>
        <v>6.8</v>
      </c>
      <c r="AT5" s="150">
        <f>AA5</f>
        <v>2.11</v>
      </c>
      <c r="AU5" s="151">
        <f>AB5</f>
        <v>3.4</v>
      </c>
      <c r="AV5" s="150">
        <f>AT5</f>
        <v>2.11</v>
      </c>
      <c r="AW5" s="151">
        <f>AU5</f>
        <v>3.4</v>
      </c>
      <c r="AX5" s="150">
        <f t="shared" ref="AX5:AX6" si="7">AV5</f>
        <v>2.11</v>
      </c>
      <c r="AY5" s="150">
        <f t="shared" ref="AY5:AY9" si="8">AW5</f>
        <v>3.4</v>
      </c>
      <c r="AZ5" s="24" t="s">
        <v>25</v>
      </c>
      <c r="BA5" s="86">
        <f t="shared" ref="BA5:BB9" si="9">AX5</f>
        <v>2.11</v>
      </c>
      <c r="BB5" s="2">
        <f t="shared" si="9"/>
        <v>3.4</v>
      </c>
    </row>
    <row r="6" spans="1:56" x14ac:dyDescent="0.25">
      <c r="A6" s="24" t="s">
        <v>129</v>
      </c>
      <c r="B6" s="86">
        <v>2.5</v>
      </c>
      <c r="C6" s="177" t="s">
        <v>130</v>
      </c>
      <c r="D6" s="178"/>
      <c r="E6" s="179"/>
      <c r="F6" s="87">
        <f>T6*R8*U2</f>
        <v>16029.701512000003</v>
      </c>
      <c r="G6" s="166" t="s">
        <v>154</v>
      </c>
      <c r="H6" s="128">
        <v>5</v>
      </c>
      <c r="I6" s="3"/>
      <c r="J6" s="3"/>
      <c r="K6" s="3"/>
      <c r="L6" s="3"/>
      <c r="M6" s="3"/>
      <c r="N6" s="3"/>
      <c r="O6" s="5"/>
      <c r="P6" s="3"/>
      <c r="Q6" s="3"/>
      <c r="R6" s="1">
        <v>1450</v>
      </c>
      <c r="S6" s="91" t="s">
        <v>129</v>
      </c>
      <c r="T6" s="26">
        <f t="shared" si="1"/>
        <v>8.237680000000001</v>
      </c>
      <c r="U6" s="3"/>
      <c r="V6" s="24" t="s">
        <v>26</v>
      </c>
      <c r="W6" s="11">
        <v>0.18</v>
      </c>
      <c r="X6" s="16">
        <v>0.18</v>
      </c>
      <c r="Y6" s="74">
        <v>0.18</v>
      </c>
      <c r="Z6" s="16">
        <v>0.18</v>
      </c>
      <c r="AA6" s="74">
        <f>Y6</f>
        <v>0.18</v>
      </c>
      <c r="AB6" s="16">
        <f t="shared" ref="AB6" si="10">AA6</f>
        <v>0.18</v>
      </c>
      <c r="AC6" s="74">
        <f>W6</f>
        <v>0.18</v>
      </c>
      <c r="AD6" s="16">
        <f>X6</f>
        <v>0.18</v>
      </c>
      <c r="AE6" s="74">
        <f>W6</f>
        <v>0.18</v>
      </c>
      <c r="AF6" s="16">
        <f>X6</f>
        <v>0.18</v>
      </c>
      <c r="AG6" s="74">
        <f t="shared" si="2"/>
        <v>0.36</v>
      </c>
      <c r="AH6" s="16">
        <f t="shared" si="2"/>
        <v>0.36</v>
      </c>
      <c r="AI6" s="11">
        <f t="shared" si="2"/>
        <v>0.36</v>
      </c>
      <c r="AJ6" s="16">
        <f>AH6</f>
        <v>0.36</v>
      </c>
      <c r="AL6" s="159" t="s">
        <v>166</v>
      </c>
      <c r="AM6" s="160">
        <v>13.75</v>
      </c>
      <c r="AP6" s="74">
        <f t="shared" si="6"/>
        <v>0.18</v>
      </c>
      <c r="AQ6" s="16">
        <f>X6</f>
        <v>0.18</v>
      </c>
      <c r="AR6" s="74">
        <f t="shared" si="4"/>
        <v>0.36</v>
      </c>
      <c r="AS6" s="16">
        <f t="shared" si="4"/>
        <v>0.36</v>
      </c>
      <c r="AT6" s="150">
        <f>AA6</f>
        <v>0.18</v>
      </c>
      <c r="AU6" s="150">
        <f>AT6</f>
        <v>0.18</v>
      </c>
      <c r="AV6" s="150">
        <f t="shared" ref="AV6" si="11">AT6</f>
        <v>0.18</v>
      </c>
      <c r="AW6" s="151">
        <f t="shared" ref="AW6" si="12">AU6</f>
        <v>0.18</v>
      </c>
      <c r="AX6" s="150">
        <f t="shared" si="7"/>
        <v>0.18</v>
      </c>
      <c r="AY6" s="150">
        <f t="shared" si="8"/>
        <v>0.18</v>
      </c>
      <c r="AZ6" s="24" t="s">
        <v>26</v>
      </c>
      <c r="BA6" s="86">
        <f t="shared" si="9"/>
        <v>0.18</v>
      </c>
      <c r="BB6" s="2">
        <f t="shared" si="9"/>
        <v>0.18</v>
      </c>
    </row>
    <row r="7" spans="1:56" x14ac:dyDescent="0.25">
      <c r="A7" s="44" t="s">
        <v>7</v>
      </c>
      <c r="B7" s="2">
        <v>2</v>
      </c>
      <c r="C7" s="174" t="s">
        <v>3</v>
      </c>
      <c r="D7" s="175"/>
      <c r="E7" s="176"/>
      <c r="F7" s="46">
        <f>R3*T7*U2</f>
        <v>23827.934679999998</v>
      </c>
      <c r="G7" s="142" t="s">
        <v>155</v>
      </c>
      <c r="H7" s="128">
        <v>6</v>
      </c>
      <c r="I7" s="3"/>
      <c r="J7" s="3"/>
      <c r="K7" s="3"/>
      <c r="L7" s="3"/>
      <c r="M7" s="3"/>
      <c r="N7" s="3"/>
      <c r="O7" s="5"/>
      <c r="P7" s="3"/>
      <c r="Q7" s="3"/>
      <c r="R7" s="84" t="s">
        <v>168</v>
      </c>
      <c r="S7" s="91" t="s">
        <v>7</v>
      </c>
      <c r="T7" s="26">
        <f t="shared" si="1"/>
        <v>12.245199999999999</v>
      </c>
      <c r="U7" s="3"/>
      <c r="V7" s="24" t="s">
        <v>27</v>
      </c>
      <c r="W7" s="11">
        <v>0.26</v>
      </c>
      <c r="X7" s="16">
        <f>W7</f>
        <v>0.26</v>
      </c>
      <c r="Y7" s="74">
        <v>0.26</v>
      </c>
      <c r="Z7" s="16">
        <f t="shared" ref="Z7:AF7" si="13">Y7</f>
        <v>0.26</v>
      </c>
      <c r="AA7" s="74">
        <f t="shared" si="13"/>
        <v>0.26</v>
      </c>
      <c r="AB7" s="16">
        <f t="shared" si="13"/>
        <v>0.26</v>
      </c>
      <c r="AC7" s="74">
        <f t="shared" si="13"/>
        <v>0.26</v>
      </c>
      <c r="AD7" s="16">
        <f t="shared" si="13"/>
        <v>0.26</v>
      </c>
      <c r="AE7" s="74">
        <f t="shared" si="13"/>
        <v>0.26</v>
      </c>
      <c r="AF7" s="16">
        <f t="shared" si="13"/>
        <v>0.26</v>
      </c>
      <c r="AG7" s="74">
        <f>AF7*2</f>
        <v>0.52</v>
      </c>
      <c r="AH7" s="16">
        <f t="shared" si="2"/>
        <v>0.52</v>
      </c>
      <c r="AI7" s="11">
        <f t="shared" si="2"/>
        <v>0.52</v>
      </c>
      <c r="AJ7" s="16">
        <f t="shared" si="2"/>
        <v>0.52</v>
      </c>
      <c r="AL7" s="159" t="s">
        <v>167</v>
      </c>
      <c r="AM7" s="160">
        <f>AM6*2</f>
        <v>27.5</v>
      </c>
      <c r="AP7" s="74">
        <f t="shared" si="6"/>
        <v>0.26</v>
      </c>
      <c r="AQ7" s="16">
        <f t="shared" si="3"/>
        <v>0.26</v>
      </c>
      <c r="AR7" s="74">
        <f t="shared" si="4"/>
        <v>0.52</v>
      </c>
      <c r="AS7" s="16">
        <f t="shared" si="4"/>
        <v>0.52</v>
      </c>
      <c r="AT7" s="150">
        <v>0.83</v>
      </c>
      <c r="AU7" s="150">
        <f>AT7</f>
        <v>0.83</v>
      </c>
      <c r="AV7" s="150">
        <v>0</v>
      </c>
      <c r="AW7" s="151">
        <v>0</v>
      </c>
      <c r="AX7" s="150">
        <v>0</v>
      </c>
      <c r="AY7" s="150">
        <f t="shared" si="8"/>
        <v>0</v>
      </c>
      <c r="AZ7" s="24" t="s">
        <v>27</v>
      </c>
      <c r="BA7" s="86">
        <f t="shared" si="9"/>
        <v>0</v>
      </c>
      <c r="BB7" s="2">
        <f t="shared" si="9"/>
        <v>0</v>
      </c>
    </row>
    <row r="8" spans="1:56" x14ac:dyDescent="0.25">
      <c r="A8" s="44" t="s">
        <v>8</v>
      </c>
      <c r="B8" s="2">
        <v>2</v>
      </c>
      <c r="C8" s="174" t="s">
        <v>3</v>
      </c>
      <c r="D8" s="175"/>
      <c r="E8" s="176"/>
      <c r="F8" s="46">
        <f>R3*T8*U2</f>
        <v>23827.934679999998</v>
      </c>
      <c r="G8" s="126">
        <f t="shared" ref="G8:G29" si="14">F8*(1+10%)</f>
        <v>26210.728148000002</v>
      </c>
      <c r="H8" s="128">
        <v>7</v>
      </c>
      <c r="I8" s="3"/>
      <c r="J8" s="3"/>
      <c r="K8" s="3"/>
      <c r="L8" s="3"/>
      <c r="M8" s="3"/>
      <c r="N8" s="3"/>
      <c r="O8" s="5"/>
      <c r="P8" s="3"/>
      <c r="Q8" s="3"/>
      <c r="R8" s="1">
        <v>1450</v>
      </c>
      <c r="S8" s="91" t="s">
        <v>8</v>
      </c>
      <c r="T8" s="26">
        <f t="shared" si="1"/>
        <v>12.245199999999999</v>
      </c>
      <c r="U8" s="3"/>
      <c r="V8" s="24" t="s">
        <v>28</v>
      </c>
      <c r="W8" s="11">
        <v>0.12</v>
      </c>
      <c r="X8" s="16">
        <f>W8</f>
        <v>0.12</v>
      </c>
      <c r="Y8" s="74">
        <v>0.22</v>
      </c>
      <c r="Z8" s="16">
        <f t="shared" ref="Z8:AF8" si="15">Y8</f>
        <v>0.22</v>
      </c>
      <c r="AA8" s="74">
        <f t="shared" si="15"/>
        <v>0.22</v>
      </c>
      <c r="AB8" s="16">
        <f t="shared" si="15"/>
        <v>0.22</v>
      </c>
      <c r="AC8" s="74">
        <f t="shared" si="15"/>
        <v>0.22</v>
      </c>
      <c r="AD8" s="16">
        <f t="shared" si="15"/>
        <v>0.22</v>
      </c>
      <c r="AE8" s="74">
        <f t="shared" si="15"/>
        <v>0.22</v>
      </c>
      <c r="AF8" s="16">
        <f t="shared" si="15"/>
        <v>0.22</v>
      </c>
      <c r="AG8" s="74">
        <f t="shared" si="2"/>
        <v>0.44</v>
      </c>
      <c r="AH8" s="16">
        <f t="shared" si="2"/>
        <v>0.44</v>
      </c>
      <c r="AI8" s="11">
        <f t="shared" si="2"/>
        <v>0.44</v>
      </c>
      <c r="AJ8" s="16">
        <f t="shared" si="2"/>
        <v>0.44</v>
      </c>
      <c r="AP8" s="74">
        <f t="shared" si="6"/>
        <v>0.22</v>
      </c>
      <c r="AQ8" s="16">
        <f t="shared" si="3"/>
        <v>0.22</v>
      </c>
      <c r="AR8" s="74">
        <f t="shared" si="4"/>
        <v>0.44</v>
      </c>
      <c r="AS8" s="16">
        <f t="shared" si="4"/>
        <v>0.44</v>
      </c>
      <c r="AT8" s="150">
        <f>AA8</f>
        <v>0.22</v>
      </c>
      <c r="AU8" s="150">
        <f>AT8</f>
        <v>0.22</v>
      </c>
      <c r="AV8" s="157">
        <f>AV3*(1+42.85%)</f>
        <v>122.15103500000002</v>
      </c>
      <c r="AW8" s="157">
        <f>AW3*(1+42.85%)</f>
        <v>122.15103500000002</v>
      </c>
      <c r="AX8" s="157">
        <f>AX3*(1+42.85%)</f>
        <v>99.437885000000009</v>
      </c>
      <c r="AY8" s="157">
        <f>AY3*(1+42.85%)</f>
        <v>99.437885000000009</v>
      </c>
      <c r="AZ8" s="156" t="s">
        <v>159</v>
      </c>
      <c r="BA8" s="157">
        <f>BA3*(1+42.85%)</f>
        <v>86.724235000000007</v>
      </c>
      <c r="BB8" s="157">
        <f>BB3*(1+42.85%)</f>
        <v>86.724235000000007</v>
      </c>
    </row>
    <row r="9" spans="1:56" x14ac:dyDescent="0.25">
      <c r="A9" s="145" t="s">
        <v>18</v>
      </c>
      <c r="B9" s="146">
        <v>2.5</v>
      </c>
      <c r="C9" s="188" t="s">
        <v>9</v>
      </c>
      <c r="D9" s="189"/>
      <c r="E9" s="190"/>
      <c r="F9" s="147">
        <f>R8*T9*U2</f>
        <v>15596.466336000001</v>
      </c>
      <c r="G9" s="165">
        <f t="shared" si="14"/>
        <v>17156.112969600003</v>
      </c>
      <c r="H9" s="128">
        <v>8</v>
      </c>
      <c r="I9" s="3"/>
      <c r="J9" s="3"/>
      <c r="K9" s="3"/>
      <c r="L9" s="3"/>
      <c r="M9" s="3"/>
      <c r="N9" s="3"/>
      <c r="O9" s="5"/>
      <c r="P9" s="3"/>
      <c r="Q9" s="3"/>
      <c r="R9" s="3"/>
      <c r="S9" s="24" t="s">
        <v>38</v>
      </c>
      <c r="T9" s="26">
        <f t="shared" si="1"/>
        <v>8.0150400000000008</v>
      </c>
      <c r="U9" s="3"/>
      <c r="V9" s="24" t="s">
        <v>29</v>
      </c>
      <c r="W9" s="11">
        <v>0.52</v>
      </c>
      <c r="X9" s="16">
        <f>W9</f>
        <v>0.52</v>
      </c>
      <c r="Y9" s="74">
        <v>0.52</v>
      </c>
      <c r="Z9" s="16">
        <f t="shared" ref="Z9:AG9" si="16">Y9</f>
        <v>0.52</v>
      </c>
      <c r="AA9" s="74">
        <f t="shared" si="16"/>
        <v>0.52</v>
      </c>
      <c r="AB9" s="16">
        <f t="shared" si="16"/>
        <v>0.52</v>
      </c>
      <c r="AC9" s="74">
        <f t="shared" si="16"/>
        <v>0.52</v>
      </c>
      <c r="AD9" s="16">
        <f t="shared" si="16"/>
        <v>0.52</v>
      </c>
      <c r="AE9" s="74">
        <f t="shared" si="16"/>
        <v>0.52</v>
      </c>
      <c r="AF9" s="16">
        <f t="shared" si="16"/>
        <v>0.52</v>
      </c>
      <c r="AG9" s="74">
        <f t="shared" si="16"/>
        <v>0.52</v>
      </c>
      <c r="AH9" s="16">
        <f t="shared" si="2"/>
        <v>1.04</v>
      </c>
      <c r="AI9" s="11">
        <f t="shared" si="2"/>
        <v>1.04</v>
      </c>
      <c r="AJ9" s="16">
        <f t="shared" si="2"/>
        <v>1.04</v>
      </c>
      <c r="AP9" s="74">
        <f t="shared" si="6"/>
        <v>0.52</v>
      </c>
      <c r="AQ9" s="16">
        <f t="shared" si="3"/>
        <v>0.52</v>
      </c>
      <c r="AR9" s="74">
        <f t="shared" si="4"/>
        <v>1.04</v>
      </c>
      <c r="AS9" s="16">
        <f t="shared" si="4"/>
        <v>1.04</v>
      </c>
      <c r="AT9" s="150">
        <f>AA9</f>
        <v>0.52</v>
      </c>
      <c r="AU9" s="150">
        <f>AT9</f>
        <v>0.52</v>
      </c>
      <c r="AV9" s="150">
        <v>0</v>
      </c>
      <c r="AW9" s="151">
        <v>0</v>
      </c>
      <c r="AX9" s="150">
        <v>0</v>
      </c>
      <c r="AY9" s="150">
        <f t="shared" si="8"/>
        <v>0</v>
      </c>
      <c r="AZ9" s="24" t="s">
        <v>29</v>
      </c>
      <c r="BA9" s="86">
        <f t="shared" si="9"/>
        <v>0</v>
      </c>
      <c r="BB9" s="2">
        <f t="shared" si="9"/>
        <v>0</v>
      </c>
    </row>
    <row r="10" spans="1:56" x14ac:dyDescent="0.25">
      <c r="A10" s="145" t="s">
        <v>18</v>
      </c>
      <c r="B10" s="146">
        <v>1.83</v>
      </c>
      <c r="C10" s="188" t="s">
        <v>9</v>
      </c>
      <c r="D10" s="189"/>
      <c r="E10" s="190"/>
      <c r="F10" s="148">
        <f>R8*T10*U2</f>
        <v>15596.466336000001</v>
      </c>
      <c r="G10" s="165">
        <f t="shared" si="14"/>
        <v>17156.112969600003</v>
      </c>
      <c r="H10" s="128">
        <v>9</v>
      </c>
      <c r="I10" s="3"/>
      <c r="J10" s="3"/>
      <c r="K10" s="3"/>
      <c r="L10" s="3"/>
      <c r="M10" s="3"/>
      <c r="N10" s="3"/>
      <c r="O10" s="5"/>
      <c r="P10" s="3"/>
      <c r="Q10" s="3"/>
      <c r="R10" s="3"/>
      <c r="S10" s="24" t="s">
        <v>63</v>
      </c>
      <c r="T10" s="26">
        <f t="shared" si="1"/>
        <v>8.0150400000000008</v>
      </c>
      <c r="U10" s="3"/>
      <c r="V10" s="25" t="s">
        <v>30</v>
      </c>
      <c r="W10" s="12">
        <f t="shared" ref="W10:AB10" si="17">SUM(W3:W9)</f>
        <v>8.6499999999999986</v>
      </c>
      <c r="X10" s="17">
        <f t="shared" si="17"/>
        <v>9.9399999999999977</v>
      </c>
      <c r="Y10" s="75">
        <f t="shared" si="17"/>
        <v>8.5</v>
      </c>
      <c r="Z10" s="17">
        <f t="shared" si="17"/>
        <v>9.7899999999999991</v>
      </c>
      <c r="AA10" s="75">
        <f t="shared" si="17"/>
        <v>10.07</v>
      </c>
      <c r="AB10" s="17">
        <f t="shared" si="17"/>
        <v>11.36</v>
      </c>
      <c r="AC10" s="75">
        <f t="shared" ref="AC10:AJ10" si="18">SUM(AC3:AC9)</f>
        <v>9.9499999999999993</v>
      </c>
      <c r="AD10" s="17">
        <f t="shared" si="18"/>
        <v>11.24</v>
      </c>
      <c r="AE10" s="75">
        <f t="shared" si="18"/>
        <v>10.62</v>
      </c>
      <c r="AF10" s="17">
        <f t="shared" si="18"/>
        <v>11.91</v>
      </c>
      <c r="AG10" s="75">
        <f t="shared" si="18"/>
        <v>19.38</v>
      </c>
      <c r="AH10" s="17">
        <f t="shared" si="18"/>
        <v>22.48</v>
      </c>
      <c r="AI10" s="12">
        <f t="shared" si="18"/>
        <v>22.009999999999998</v>
      </c>
      <c r="AJ10" s="17">
        <f t="shared" si="18"/>
        <v>24.59</v>
      </c>
      <c r="AM10" s="158"/>
      <c r="AP10" s="75">
        <f t="shared" ref="AP10:AU10" si="19">SUM(AP3:AP9)</f>
        <v>9.6199999999999992</v>
      </c>
      <c r="AQ10" s="17">
        <f t="shared" si="19"/>
        <v>10.91</v>
      </c>
      <c r="AR10" s="75">
        <f t="shared" si="19"/>
        <v>25.24</v>
      </c>
      <c r="AS10" s="17">
        <f t="shared" si="19"/>
        <v>23.32</v>
      </c>
      <c r="AT10" s="150">
        <f t="shared" si="19"/>
        <v>14.079999999999998</v>
      </c>
      <c r="AU10" s="150">
        <f t="shared" si="19"/>
        <v>15.37</v>
      </c>
      <c r="AV10" s="154">
        <f>AV6+AV5+AV4</f>
        <v>5.62</v>
      </c>
      <c r="AW10" s="154">
        <f>AW6+AW5+AW4</f>
        <v>6.91</v>
      </c>
      <c r="AX10" s="154">
        <f>AX6+AX5+AX4</f>
        <v>7.34</v>
      </c>
      <c r="AY10" s="154">
        <f>AY6+AY5+AY4</f>
        <v>8.629999999999999</v>
      </c>
      <c r="AZ10" s="25" t="s">
        <v>30</v>
      </c>
      <c r="BA10" s="154">
        <f>BA6+BA5+BA4</f>
        <v>8.3099999999999987</v>
      </c>
      <c r="BB10" s="154">
        <f>BB6+BB5+BB4</f>
        <v>9.6</v>
      </c>
    </row>
    <row r="11" spans="1:56" ht="15.75" x14ac:dyDescent="0.25">
      <c r="A11" s="44" t="s">
        <v>10</v>
      </c>
      <c r="B11" s="2">
        <v>2.5</v>
      </c>
      <c r="C11" s="174" t="s">
        <v>9</v>
      </c>
      <c r="D11" s="175"/>
      <c r="E11" s="176"/>
      <c r="F11" s="46">
        <f>R3*T11*U2</f>
        <v>25647.522419199999</v>
      </c>
      <c r="G11" s="126">
        <f t="shared" si="14"/>
        <v>28212.274661120002</v>
      </c>
      <c r="H11" s="128">
        <v>10</v>
      </c>
      <c r="I11" s="3"/>
      <c r="J11" s="3"/>
      <c r="K11" s="3"/>
      <c r="L11" s="3"/>
      <c r="M11" s="3"/>
      <c r="N11" s="3"/>
      <c r="O11" s="5" t="s">
        <v>131</v>
      </c>
      <c r="P11" s="3"/>
      <c r="Q11" s="3"/>
      <c r="R11" s="3"/>
      <c r="S11" s="24" t="s">
        <v>64</v>
      </c>
      <c r="T11" s="26">
        <f t="shared" si="1"/>
        <v>13.180287999999997</v>
      </c>
      <c r="U11" s="3"/>
      <c r="V11" s="23" t="s">
        <v>31</v>
      </c>
      <c r="W11" s="13">
        <f>W10*1.6</f>
        <v>13.839999999999998</v>
      </c>
      <c r="X11" s="13">
        <f t="shared" ref="X11:AS11" si="20">X10*1.6</f>
        <v>15.903999999999996</v>
      </c>
      <c r="Y11" s="13">
        <f t="shared" si="20"/>
        <v>13.600000000000001</v>
      </c>
      <c r="Z11" s="13">
        <f t="shared" si="20"/>
        <v>15.664</v>
      </c>
      <c r="AA11" s="13">
        <f t="shared" si="20"/>
        <v>16.112000000000002</v>
      </c>
      <c r="AB11" s="13">
        <f t="shared" si="20"/>
        <v>18.175999999999998</v>
      </c>
      <c r="AC11" s="13">
        <f t="shared" si="20"/>
        <v>15.92</v>
      </c>
      <c r="AD11" s="13">
        <f t="shared" si="20"/>
        <v>17.984000000000002</v>
      </c>
      <c r="AE11" s="13">
        <f t="shared" si="20"/>
        <v>16.992000000000001</v>
      </c>
      <c r="AF11" s="13">
        <f t="shared" si="20"/>
        <v>19.056000000000001</v>
      </c>
      <c r="AG11" s="13">
        <f t="shared" si="20"/>
        <v>31.007999999999999</v>
      </c>
      <c r="AH11" s="13">
        <f t="shared" si="20"/>
        <v>35.968000000000004</v>
      </c>
      <c r="AI11" s="13">
        <f t="shared" si="20"/>
        <v>35.216000000000001</v>
      </c>
      <c r="AJ11" s="13">
        <f t="shared" si="20"/>
        <v>39.344000000000001</v>
      </c>
      <c r="AK11" s="13">
        <f t="shared" si="20"/>
        <v>0</v>
      </c>
      <c r="AL11" s="13">
        <f t="shared" si="20"/>
        <v>0</v>
      </c>
      <c r="AM11" s="13">
        <f t="shared" si="20"/>
        <v>0</v>
      </c>
      <c r="AN11" s="13">
        <f t="shared" si="20"/>
        <v>0</v>
      </c>
      <c r="AO11" s="13">
        <f t="shared" si="20"/>
        <v>0</v>
      </c>
      <c r="AP11" s="13">
        <f t="shared" si="20"/>
        <v>15.391999999999999</v>
      </c>
      <c r="AQ11" s="13">
        <f t="shared" si="20"/>
        <v>17.456</v>
      </c>
      <c r="AR11" s="13">
        <f t="shared" si="20"/>
        <v>40.384</v>
      </c>
      <c r="AS11" s="13">
        <f t="shared" si="20"/>
        <v>37.312000000000005</v>
      </c>
      <c r="AT11" s="13">
        <f t="shared" ref="AT11" si="21">AT10*1.6</f>
        <v>22.527999999999999</v>
      </c>
      <c r="AU11" s="13">
        <f t="shared" ref="AU11" si="22">AU10*1.6</f>
        <v>24.591999999999999</v>
      </c>
      <c r="AV11" s="155">
        <f>AV10*1.7+AV8</f>
        <v>131.70503500000001</v>
      </c>
      <c r="AW11" s="155">
        <f t="shared" ref="AW11:BB11" si="23">AW10*1.7+AW8</f>
        <v>133.89803500000002</v>
      </c>
      <c r="AX11" s="155">
        <f t="shared" si="23"/>
        <v>111.915885</v>
      </c>
      <c r="AY11" s="155">
        <f t="shared" si="23"/>
        <v>114.108885</v>
      </c>
      <c r="AZ11" s="23" t="s">
        <v>31</v>
      </c>
      <c r="BA11" s="155">
        <f t="shared" si="23"/>
        <v>100.851235</v>
      </c>
      <c r="BB11" s="155">
        <f t="shared" si="23"/>
        <v>103.04423500000001</v>
      </c>
    </row>
    <row r="12" spans="1:56" x14ac:dyDescent="0.25">
      <c r="A12" s="145" t="s">
        <v>39</v>
      </c>
      <c r="B12" s="146">
        <v>2.5</v>
      </c>
      <c r="C12" s="188" t="s">
        <v>79</v>
      </c>
      <c r="D12" s="189"/>
      <c r="E12" s="190"/>
      <c r="F12" s="148">
        <f>R8*T12*U2</f>
        <v>18629.112567999997</v>
      </c>
      <c r="G12" s="165">
        <f t="shared" si="14"/>
        <v>20492.023824799999</v>
      </c>
      <c r="H12" s="128">
        <v>11</v>
      </c>
      <c r="I12" s="3"/>
      <c r="J12" s="3"/>
      <c r="K12" s="3"/>
      <c r="L12" s="3"/>
      <c r="M12" s="3"/>
      <c r="N12" s="3"/>
      <c r="O12" s="5"/>
      <c r="P12" s="3"/>
      <c r="Q12" s="3"/>
      <c r="R12" s="3"/>
      <c r="S12" s="24" t="s">
        <v>11</v>
      </c>
      <c r="T12" s="26">
        <f t="shared" si="1"/>
        <v>9.5735199999999985</v>
      </c>
      <c r="U12" s="3"/>
      <c r="AC12" s="9"/>
      <c r="AD12" s="9"/>
      <c r="AE12" s="5"/>
      <c r="AU12" s="123"/>
      <c r="AV12" s="124"/>
    </row>
    <row r="13" spans="1:56" x14ac:dyDescent="0.25">
      <c r="A13" s="145" t="s">
        <v>105</v>
      </c>
      <c r="B13" s="146">
        <v>2.5</v>
      </c>
      <c r="C13" s="188" t="s">
        <v>78</v>
      </c>
      <c r="D13" s="189"/>
      <c r="E13" s="190"/>
      <c r="F13" s="148">
        <f>T13*R8*U2</f>
        <v>45966.252173599998</v>
      </c>
      <c r="G13" s="165">
        <f t="shared" si="14"/>
        <v>50562.877390959999</v>
      </c>
      <c r="H13" s="128">
        <v>12</v>
      </c>
      <c r="I13" s="3"/>
      <c r="J13" s="3"/>
      <c r="K13" s="3"/>
      <c r="L13" s="3"/>
      <c r="M13" s="3"/>
      <c r="N13" s="3"/>
      <c r="O13" s="5"/>
      <c r="P13" s="3"/>
      <c r="Q13" s="3"/>
      <c r="R13" s="3"/>
      <c r="S13" s="24" t="s">
        <v>12</v>
      </c>
      <c r="T13" s="26">
        <f t="shared" si="1"/>
        <v>23.622103999999997</v>
      </c>
      <c r="U13" s="3"/>
      <c r="V13" s="24" t="s">
        <v>23</v>
      </c>
      <c r="W13" s="3"/>
      <c r="X13" s="6"/>
      <c r="Y13" s="9">
        <v>7.71</v>
      </c>
      <c r="Z13" s="9"/>
      <c r="AA13" s="9"/>
      <c r="AB13" s="9"/>
      <c r="AC13" s="9"/>
      <c r="AD13" s="9"/>
      <c r="AE13" s="5"/>
      <c r="AG13">
        <v>16.079999999999998</v>
      </c>
      <c r="AI13">
        <v>18.22</v>
      </c>
      <c r="AU13" s="123"/>
      <c r="AV13" s="124"/>
    </row>
    <row r="14" spans="1:56" x14ac:dyDescent="0.25">
      <c r="A14" s="85" t="s">
        <v>124</v>
      </c>
      <c r="B14" s="146">
        <v>2.5</v>
      </c>
      <c r="C14" s="188" t="s">
        <v>13</v>
      </c>
      <c r="D14" s="189"/>
      <c r="E14" s="190"/>
      <c r="F14" s="148">
        <f>R8*T14*U2</f>
        <v>15596.466336000001</v>
      </c>
      <c r="G14" s="165">
        <f t="shared" si="14"/>
        <v>17156.112969600003</v>
      </c>
      <c r="H14" s="128">
        <v>13</v>
      </c>
      <c r="I14" s="3"/>
      <c r="J14" s="3"/>
      <c r="K14" s="3"/>
      <c r="L14" s="3"/>
      <c r="M14" s="3"/>
      <c r="N14" s="3"/>
      <c r="O14" s="5"/>
      <c r="P14" s="3"/>
      <c r="Q14" s="3"/>
      <c r="R14" s="3"/>
      <c r="S14" s="24" t="s">
        <v>127</v>
      </c>
      <c r="T14" s="26">
        <f t="shared" si="1"/>
        <v>8.0150400000000008</v>
      </c>
      <c r="U14" s="3"/>
      <c r="V14" s="24" t="s">
        <v>24</v>
      </c>
      <c r="X14" s="6"/>
      <c r="Y14" s="9">
        <v>3</v>
      </c>
      <c r="Z14" s="9"/>
      <c r="AA14" s="9"/>
      <c r="AB14" s="9"/>
      <c r="AC14" s="9" t="s">
        <v>140</v>
      </c>
      <c r="AD14" s="9"/>
      <c r="AE14" s="5"/>
      <c r="AU14" s="123"/>
      <c r="AV14" s="124"/>
    </row>
    <row r="15" spans="1:56" x14ac:dyDescent="0.25">
      <c r="A15" s="85" t="s">
        <v>125</v>
      </c>
      <c r="B15" s="86">
        <v>2.5</v>
      </c>
      <c r="C15" s="177" t="s">
        <v>126</v>
      </c>
      <c r="D15" s="178"/>
      <c r="E15" s="179"/>
      <c r="F15" s="87">
        <f>R8*T15*U2</f>
        <v>19062.347744000002</v>
      </c>
      <c r="G15" s="165">
        <f t="shared" si="14"/>
        <v>20968.582518400006</v>
      </c>
      <c r="H15" s="128">
        <v>14</v>
      </c>
      <c r="I15" s="3"/>
      <c r="J15" s="3"/>
      <c r="K15" s="3"/>
      <c r="L15" s="3"/>
      <c r="M15" s="3"/>
      <c r="N15" s="3"/>
      <c r="O15" s="5"/>
      <c r="P15" s="3"/>
      <c r="Q15" s="3"/>
      <c r="R15" s="3"/>
      <c r="S15" s="24" t="s">
        <v>128</v>
      </c>
      <c r="T15" s="26">
        <f t="shared" si="1"/>
        <v>9.7961600000000004</v>
      </c>
      <c r="U15" s="3"/>
      <c r="V15" s="24" t="s">
        <v>25</v>
      </c>
      <c r="X15" s="3"/>
      <c r="Y15" s="9">
        <v>2.23</v>
      </c>
      <c r="Z15" s="9">
        <v>2.69</v>
      </c>
      <c r="AA15" s="9"/>
      <c r="AB15" s="9"/>
      <c r="AC15" s="9"/>
      <c r="AD15" s="9"/>
      <c r="AE15" s="5"/>
      <c r="AU15" s="123"/>
      <c r="AV15" s="124"/>
    </row>
    <row r="16" spans="1:56" x14ac:dyDescent="0.25">
      <c r="A16" s="82" t="s">
        <v>80</v>
      </c>
      <c r="B16" s="83">
        <v>2.5</v>
      </c>
      <c r="C16" s="174" t="s">
        <v>122</v>
      </c>
      <c r="D16" s="175"/>
      <c r="E16" s="176"/>
      <c r="F16" s="46">
        <f>R3*T16*U2</f>
        <v>34138.931868799998</v>
      </c>
      <c r="G16" s="126">
        <f t="shared" si="14"/>
        <v>37552.825055680005</v>
      </c>
      <c r="H16" s="128">
        <v>15</v>
      </c>
      <c r="I16" s="3"/>
      <c r="J16" s="3"/>
      <c r="K16" s="3"/>
      <c r="L16" s="3"/>
      <c r="M16" s="3"/>
      <c r="N16" s="3"/>
      <c r="O16" s="5"/>
      <c r="P16" s="3"/>
      <c r="Q16" s="3"/>
      <c r="R16" s="3"/>
      <c r="S16" s="92" t="s">
        <v>80</v>
      </c>
      <c r="T16" s="26">
        <f t="shared" si="1"/>
        <v>17.544031999999998</v>
      </c>
      <c r="U16" s="3"/>
      <c r="V16" s="24" t="s">
        <v>26</v>
      </c>
      <c r="X16" s="3"/>
      <c r="Y16" s="131">
        <v>0.27</v>
      </c>
      <c r="Z16" s="9"/>
      <c r="AA16" s="9"/>
      <c r="AB16" s="9"/>
      <c r="AC16" s="9"/>
      <c r="AD16" s="9"/>
      <c r="AE16" s="5"/>
      <c r="AU16" s="123"/>
      <c r="AV16" s="124"/>
    </row>
    <row r="17" spans="1:48" ht="15.75" thickBot="1" x14ac:dyDescent="0.3">
      <c r="A17" s="24" t="s">
        <v>75</v>
      </c>
      <c r="B17" s="86">
        <v>2.5</v>
      </c>
      <c r="C17" s="171" t="s">
        <v>79</v>
      </c>
      <c r="D17" s="171"/>
      <c r="E17" s="171"/>
      <c r="F17" s="88">
        <f>R8*T17*U2</f>
        <v>34658.814079999996</v>
      </c>
      <c r="G17" s="165">
        <f t="shared" si="14"/>
        <v>38124.695487999998</v>
      </c>
      <c r="H17" s="128">
        <v>16</v>
      </c>
      <c r="I17" s="3"/>
      <c r="J17" s="3"/>
      <c r="K17" s="3"/>
      <c r="L17" s="3"/>
      <c r="M17" s="3"/>
      <c r="N17" s="3"/>
      <c r="O17" s="5"/>
      <c r="P17" s="3"/>
      <c r="Q17" s="3"/>
      <c r="R17" s="3"/>
      <c r="S17" s="24" t="s">
        <v>73</v>
      </c>
      <c r="T17" s="26">
        <f t="shared" si="1"/>
        <v>17.811199999999999</v>
      </c>
      <c r="U17" s="3"/>
      <c r="V17" s="24" t="s">
        <v>27</v>
      </c>
      <c r="X17" s="3"/>
      <c r="Y17" s="131">
        <v>0.72</v>
      </c>
      <c r="Z17" s="9"/>
      <c r="AA17" s="9"/>
      <c r="AB17" s="9"/>
      <c r="AC17" s="9"/>
      <c r="AD17" s="9"/>
      <c r="AE17" s="5"/>
      <c r="AU17" s="123"/>
      <c r="AV17" s="124"/>
    </row>
    <row r="18" spans="1:48" ht="15.75" thickBot="1" x14ac:dyDescent="0.3">
      <c r="A18" s="24" t="s">
        <v>76</v>
      </c>
      <c r="B18" s="86">
        <v>2.5</v>
      </c>
      <c r="C18" s="171" t="s">
        <v>77</v>
      </c>
      <c r="D18" s="171"/>
      <c r="E18" s="171"/>
      <c r="F18" s="88">
        <f>R8*T18*U2</f>
        <v>21661.7588</v>
      </c>
      <c r="G18" s="166" t="s">
        <v>154</v>
      </c>
      <c r="H18" s="128">
        <v>17</v>
      </c>
      <c r="I18" s="3"/>
      <c r="J18" s="3"/>
      <c r="K18" s="3"/>
      <c r="L18" s="3"/>
      <c r="M18" s="3"/>
      <c r="N18" s="3"/>
      <c r="O18" s="5"/>
      <c r="P18" s="3"/>
      <c r="Q18" s="3"/>
      <c r="R18" s="3"/>
      <c r="S18" s="24" t="s">
        <v>74</v>
      </c>
      <c r="T18" s="26">
        <f t="shared" si="1"/>
        <v>11.132</v>
      </c>
      <c r="U18" s="3"/>
      <c r="V18" s="24" t="s">
        <v>28</v>
      </c>
      <c r="X18" s="3"/>
      <c r="Y18" s="131">
        <v>0.17</v>
      </c>
      <c r="Z18" s="9"/>
      <c r="AA18" s="9"/>
      <c r="AB18" s="9"/>
      <c r="AC18" s="9"/>
      <c r="AD18" s="9"/>
      <c r="AE18" s="5"/>
      <c r="AU18" s="123"/>
      <c r="AV18" s="124"/>
    </row>
    <row r="19" spans="1:48" x14ac:dyDescent="0.25">
      <c r="A19" s="161" t="s">
        <v>151</v>
      </c>
      <c r="B19" s="162">
        <v>2.5</v>
      </c>
      <c r="C19" s="172" t="s">
        <v>152</v>
      </c>
      <c r="D19" s="172"/>
      <c r="E19" s="172"/>
      <c r="F19" s="163">
        <f>R8*T19*U2</f>
        <v>22961.464327999998</v>
      </c>
      <c r="G19" s="165">
        <f t="shared" si="14"/>
        <v>25257.610760799998</v>
      </c>
      <c r="H19" s="128">
        <v>18</v>
      </c>
      <c r="I19" s="3"/>
      <c r="J19" s="3"/>
      <c r="K19" s="3"/>
      <c r="L19" s="3"/>
      <c r="M19" s="3"/>
      <c r="N19" s="3"/>
      <c r="O19" s="5"/>
      <c r="P19" s="3"/>
      <c r="Q19" s="3"/>
      <c r="R19" s="3"/>
      <c r="S19" s="108" t="s">
        <v>151</v>
      </c>
      <c r="T19" s="26">
        <f t="shared" si="1"/>
        <v>11.799919999999998</v>
      </c>
      <c r="U19" s="3"/>
      <c r="V19" s="24" t="s">
        <v>29</v>
      </c>
      <c r="X19" s="3"/>
      <c r="Y19" s="131">
        <v>0.85</v>
      </c>
      <c r="Z19" s="9"/>
      <c r="AA19" s="9"/>
      <c r="AB19" s="9"/>
      <c r="AC19" s="9"/>
      <c r="AD19" s="9"/>
      <c r="AE19" s="5"/>
      <c r="AU19" s="123"/>
      <c r="AV19" s="124"/>
    </row>
    <row r="20" spans="1:48" x14ac:dyDescent="0.25">
      <c r="A20" s="24" t="s">
        <v>87</v>
      </c>
      <c r="B20" s="86">
        <v>2.8</v>
      </c>
      <c r="C20" s="171" t="s">
        <v>88</v>
      </c>
      <c r="D20" s="171"/>
      <c r="E20" s="171"/>
      <c r="F20" s="164">
        <f>R8*T20*U2</f>
        <v>29330.021415200004</v>
      </c>
      <c r="G20" s="165">
        <f t="shared" si="14"/>
        <v>32263.023556720007</v>
      </c>
      <c r="H20" s="128">
        <v>19</v>
      </c>
      <c r="I20" s="3"/>
      <c r="J20" s="3"/>
      <c r="K20" s="3"/>
      <c r="L20" s="3"/>
      <c r="M20" s="3"/>
      <c r="N20" s="3"/>
      <c r="O20" s="5"/>
      <c r="P20" s="3"/>
      <c r="Q20" s="3"/>
      <c r="R20" s="3"/>
      <c r="S20" s="24" t="s">
        <v>87</v>
      </c>
      <c r="T20" s="26">
        <f t="shared" si="1"/>
        <v>15.072728</v>
      </c>
      <c r="U20" s="3"/>
      <c r="X20" s="3"/>
      <c r="Y20" s="9"/>
      <c r="Z20" s="9"/>
      <c r="AA20" s="9"/>
      <c r="AB20" s="9"/>
      <c r="AC20" s="9"/>
      <c r="AD20" s="9"/>
      <c r="AE20" s="5"/>
      <c r="AU20" s="123"/>
      <c r="AV20" s="124"/>
    </row>
    <row r="21" spans="1:48" x14ac:dyDescent="0.25">
      <c r="A21" s="24" t="s">
        <v>138</v>
      </c>
      <c r="B21" s="86">
        <v>3</v>
      </c>
      <c r="C21" s="171" t="s">
        <v>139</v>
      </c>
      <c r="D21" s="171"/>
      <c r="E21" s="171"/>
      <c r="F21" s="164">
        <f>R8*T21*U2</f>
        <v>17329.407039999998</v>
      </c>
      <c r="G21" s="165">
        <f t="shared" si="14"/>
        <v>19062.347743999999</v>
      </c>
      <c r="H21" s="128">
        <v>20</v>
      </c>
      <c r="I21" s="3"/>
      <c r="J21" s="3"/>
      <c r="K21" s="3"/>
      <c r="L21" s="3"/>
      <c r="M21" s="3"/>
      <c r="N21" s="3"/>
      <c r="O21" s="5"/>
      <c r="P21" s="3"/>
      <c r="Q21" s="3"/>
      <c r="R21" s="3"/>
      <c r="S21" s="84" t="s">
        <v>136</v>
      </c>
      <c r="T21" s="26">
        <f t="shared" si="1"/>
        <v>8.9055999999999997</v>
      </c>
      <c r="U21" s="3"/>
      <c r="V21" s="80" t="s">
        <v>114</v>
      </c>
      <c r="W21">
        <v>11.35</v>
      </c>
      <c r="X21" s="3"/>
      <c r="Y21" s="9"/>
      <c r="Z21" s="9"/>
      <c r="AA21" s="9"/>
      <c r="AB21" s="9"/>
      <c r="AC21" s="9"/>
      <c r="AD21" s="9"/>
      <c r="AE21" s="5"/>
      <c r="AU21" s="123"/>
      <c r="AV21" s="124"/>
    </row>
    <row r="22" spans="1:48" x14ac:dyDescent="0.25">
      <c r="A22" s="84" t="s">
        <v>89</v>
      </c>
      <c r="B22" s="2">
        <v>2</v>
      </c>
      <c r="C22" s="173" t="s">
        <v>90</v>
      </c>
      <c r="D22" s="173"/>
      <c r="E22" s="173"/>
      <c r="F22" s="110">
        <f>R3*T22*U2</f>
        <v>41157.341719999997</v>
      </c>
      <c r="G22" s="167">
        <f t="shared" si="14"/>
        <v>45273.075892000001</v>
      </c>
      <c r="H22" s="128">
        <v>21</v>
      </c>
      <c r="I22" s="3"/>
      <c r="J22" s="3"/>
      <c r="K22" s="3"/>
      <c r="L22" s="3"/>
      <c r="M22" s="3"/>
      <c r="N22" s="3"/>
      <c r="O22" s="5"/>
      <c r="P22" s="3"/>
      <c r="Q22" s="3"/>
      <c r="R22" s="3"/>
      <c r="S22" s="84" t="s">
        <v>89</v>
      </c>
      <c r="T22" s="26">
        <f t="shared" si="1"/>
        <v>21.150799999999997</v>
      </c>
      <c r="U22" s="3"/>
      <c r="X22" s="3"/>
      <c r="Y22" s="9"/>
      <c r="Z22" s="9"/>
      <c r="AA22" s="9"/>
      <c r="AB22" s="9"/>
      <c r="AC22" s="9"/>
      <c r="AD22" s="9"/>
      <c r="AE22" s="5"/>
      <c r="AU22" s="123"/>
      <c r="AV22" s="124"/>
    </row>
    <row r="23" spans="1:48" x14ac:dyDescent="0.25">
      <c r="A23" s="84" t="s">
        <v>91</v>
      </c>
      <c r="B23" s="2">
        <v>2.8</v>
      </c>
      <c r="C23" s="173" t="s">
        <v>92</v>
      </c>
      <c r="D23" s="173"/>
      <c r="E23" s="173"/>
      <c r="F23" s="110">
        <f>R3*T23*U2</f>
        <v>33272.461516799995</v>
      </c>
      <c r="G23" s="126">
        <f t="shared" si="14"/>
        <v>36599.707668479998</v>
      </c>
      <c r="H23" s="128">
        <v>22</v>
      </c>
      <c r="I23" s="3"/>
      <c r="J23" s="3"/>
      <c r="K23" s="3"/>
      <c r="L23" s="3"/>
      <c r="M23" s="3"/>
      <c r="N23" s="3"/>
      <c r="O23" s="5"/>
      <c r="P23" s="3"/>
      <c r="Q23" s="3"/>
      <c r="R23" s="3"/>
      <c r="S23" s="84" t="s">
        <v>91</v>
      </c>
      <c r="T23" s="26">
        <f t="shared" si="1"/>
        <v>17.098751999999998</v>
      </c>
      <c r="U23" s="3"/>
      <c r="X23" s="3"/>
      <c r="Y23" s="9"/>
      <c r="Z23" s="9"/>
      <c r="AA23" s="9"/>
      <c r="AB23" s="9"/>
      <c r="AC23" s="9"/>
      <c r="AD23" s="9"/>
      <c r="AE23" s="5"/>
      <c r="AU23" s="123"/>
      <c r="AV23" s="124"/>
    </row>
    <row r="24" spans="1:48" x14ac:dyDescent="0.25">
      <c r="A24" s="84" t="s">
        <v>93</v>
      </c>
      <c r="B24" s="2">
        <v>2</v>
      </c>
      <c r="C24" s="173" t="s">
        <v>94</v>
      </c>
      <c r="D24" s="173"/>
      <c r="E24" s="173"/>
      <c r="F24" s="110">
        <f>R3*T24*U2</f>
        <v>34658.814079999996</v>
      </c>
      <c r="G24" s="126">
        <f t="shared" si="14"/>
        <v>38124.695487999998</v>
      </c>
      <c r="H24" s="128">
        <v>23</v>
      </c>
      <c r="I24" s="3"/>
      <c r="J24" s="3"/>
      <c r="K24" s="3"/>
      <c r="L24" s="3"/>
      <c r="M24" s="3"/>
      <c r="N24" s="3"/>
      <c r="O24" s="5"/>
      <c r="P24" s="3"/>
      <c r="Q24" s="3"/>
      <c r="R24" s="3"/>
      <c r="S24" s="84" t="s">
        <v>93</v>
      </c>
      <c r="T24" s="26">
        <f t="shared" si="1"/>
        <v>17.811199999999999</v>
      </c>
      <c r="U24" s="3"/>
      <c r="X24" s="3"/>
      <c r="Y24" s="9"/>
      <c r="Z24" s="9"/>
      <c r="AA24" s="9"/>
      <c r="AB24" s="9"/>
      <c r="AC24" s="9"/>
      <c r="AD24" s="9"/>
      <c r="AE24" s="5"/>
      <c r="AU24" s="123"/>
      <c r="AV24" s="124"/>
    </row>
    <row r="25" spans="1:48" x14ac:dyDescent="0.25">
      <c r="A25" s="84" t="s">
        <v>95</v>
      </c>
      <c r="B25" s="2">
        <v>2</v>
      </c>
      <c r="C25" s="173" t="s">
        <v>94</v>
      </c>
      <c r="D25" s="173"/>
      <c r="E25" s="173"/>
      <c r="F25" s="110">
        <f>R3*T25*U2</f>
        <v>39424.401016000003</v>
      </c>
      <c r="G25" s="126">
        <f t="shared" si="14"/>
        <v>43366.841117600008</v>
      </c>
      <c r="H25" s="128">
        <v>24</v>
      </c>
      <c r="I25" s="3"/>
      <c r="J25" s="3"/>
      <c r="K25" s="3"/>
      <c r="L25" s="3"/>
      <c r="M25" s="3"/>
      <c r="N25" s="3"/>
      <c r="O25" s="5"/>
      <c r="P25" s="3"/>
      <c r="Q25" s="3"/>
      <c r="R25" s="3"/>
      <c r="S25" s="84" t="s">
        <v>95</v>
      </c>
      <c r="T25" s="26">
        <f t="shared" si="1"/>
        <v>20.26024</v>
      </c>
      <c r="U25" s="3"/>
      <c r="X25" s="3"/>
      <c r="Y25" s="9"/>
      <c r="Z25" s="9"/>
      <c r="AA25" s="9"/>
      <c r="AB25" s="9"/>
      <c r="AC25" s="9"/>
      <c r="AD25" s="9"/>
      <c r="AE25" s="5"/>
      <c r="AU25" s="123"/>
      <c r="AV25" s="124"/>
    </row>
    <row r="26" spans="1:48" x14ac:dyDescent="0.25">
      <c r="A26" s="84" t="s">
        <v>96</v>
      </c>
      <c r="B26" s="2">
        <v>2.8</v>
      </c>
      <c r="C26" s="173" t="s">
        <v>97</v>
      </c>
      <c r="D26" s="173"/>
      <c r="E26" s="173"/>
      <c r="F26" s="110">
        <f>R3*T26*U2</f>
        <v>30932.991566399996</v>
      </c>
      <c r="G26" s="126">
        <f t="shared" si="14"/>
        <v>34026.290723040001</v>
      </c>
      <c r="H26" s="128">
        <v>25</v>
      </c>
      <c r="I26" s="3"/>
      <c r="J26" s="3"/>
      <c r="K26" s="3"/>
      <c r="L26" s="3"/>
      <c r="M26" s="3"/>
      <c r="N26" s="3"/>
      <c r="O26" s="5"/>
      <c r="P26" s="3"/>
      <c r="Q26" s="3"/>
      <c r="R26" s="3"/>
      <c r="S26" s="84" t="s">
        <v>96</v>
      </c>
      <c r="T26" s="26">
        <f t="shared" si="1"/>
        <v>15.896495999999997</v>
      </c>
      <c r="U26" s="3"/>
      <c r="X26" s="3"/>
      <c r="Y26" s="9"/>
      <c r="Z26" s="9"/>
      <c r="AA26" s="9"/>
      <c r="AB26" s="9"/>
      <c r="AC26" s="9"/>
      <c r="AD26" s="9"/>
      <c r="AE26" s="5"/>
      <c r="AU26" s="123"/>
      <c r="AV26" s="124"/>
    </row>
    <row r="27" spans="1:48" x14ac:dyDescent="0.25">
      <c r="A27" s="113" t="s">
        <v>100</v>
      </c>
      <c r="B27" s="114">
        <v>2.5</v>
      </c>
      <c r="C27" s="195" t="s">
        <v>90</v>
      </c>
      <c r="D27" s="195"/>
      <c r="E27" s="195"/>
      <c r="F27" s="115">
        <f>R8*T27*U2</f>
        <v>13040.378797599997</v>
      </c>
      <c r="G27" s="165">
        <f t="shared" si="14"/>
        <v>14344.416677359997</v>
      </c>
      <c r="H27" s="128">
        <v>26</v>
      </c>
      <c r="I27" s="3"/>
      <c r="J27" s="3"/>
      <c r="K27" s="3"/>
      <c r="L27" s="3"/>
      <c r="M27" s="3"/>
      <c r="N27" s="3"/>
      <c r="O27" s="5"/>
      <c r="P27" s="3"/>
      <c r="Q27" s="3"/>
      <c r="R27" s="3"/>
      <c r="S27" s="84" t="s">
        <v>100</v>
      </c>
      <c r="T27" s="26">
        <f>W63*X63*Y63*Z63</f>
        <v>6.7014639999999988</v>
      </c>
      <c r="U27" s="3"/>
      <c r="X27" s="3"/>
      <c r="Y27" s="9"/>
      <c r="Z27" s="9"/>
      <c r="AA27" s="9"/>
      <c r="AB27" s="9"/>
      <c r="AC27" s="9"/>
      <c r="AD27" s="9"/>
      <c r="AE27" s="5"/>
      <c r="AU27" s="123"/>
      <c r="AV27" s="124"/>
    </row>
    <row r="28" spans="1:48" x14ac:dyDescent="0.25">
      <c r="A28" s="113" t="s">
        <v>103</v>
      </c>
      <c r="B28" s="114">
        <v>3.05</v>
      </c>
      <c r="C28" s="195" t="s">
        <v>88</v>
      </c>
      <c r="D28" s="195"/>
      <c r="E28" s="195"/>
      <c r="F28" s="115">
        <f>R8*T28*U2</f>
        <v>22311.611564000003</v>
      </c>
      <c r="G28" s="165">
        <f t="shared" si="14"/>
        <v>24542.772720400004</v>
      </c>
      <c r="H28" s="128">
        <v>27</v>
      </c>
      <c r="I28" s="3"/>
      <c r="J28" s="3"/>
      <c r="K28" s="3"/>
      <c r="L28" s="3"/>
      <c r="M28" s="3"/>
      <c r="N28" s="3"/>
      <c r="O28" s="5"/>
      <c r="P28" s="3"/>
      <c r="Q28" s="3"/>
      <c r="R28" s="3"/>
      <c r="S28" s="24" t="s">
        <v>101</v>
      </c>
      <c r="T28" s="26">
        <f>W65*X65*Y65*Z65</f>
        <v>11.465959999999999</v>
      </c>
      <c r="U28" s="3"/>
      <c r="X28" s="3"/>
      <c r="Y28" s="9"/>
      <c r="Z28" s="9"/>
      <c r="AA28" s="9"/>
      <c r="AB28" s="9"/>
      <c r="AC28" s="9"/>
      <c r="AD28" s="9"/>
      <c r="AE28" s="5"/>
      <c r="AU28" s="123"/>
      <c r="AV28" s="124"/>
    </row>
    <row r="29" spans="1:48" x14ac:dyDescent="0.25">
      <c r="A29" s="113" t="s">
        <v>106</v>
      </c>
      <c r="B29" s="114">
        <v>2.5</v>
      </c>
      <c r="C29" s="195" t="s">
        <v>107</v>
      </c>
      <c r="D29" s="195"/>
      <c r="E29" s="195"/>
      <c r="F29" s="115">
        <f>R8*T29*U2</f>
        <v>10397.644224</v>
      </c>
      <c r="G29" s="165">
        <f t="shared" si="14"/>
        <v>11437.408646400001</v>
      </c>
      <c r="H29" s="128">
        <v>28</v>
      </c>
      <c r="I29" s="3"/>
      <c r="J29" s="3"/>
      <c r="K29" s="3"/>
      <c r="L29" s="3"/>
      <c r="M29" s="3"/>
      <c r="N29" s="3"/>
      <c r="O29" s="5"/>
      <c r="P29" s="3"/>
      <c r="Q29" s="3"/>
      <c r="R29" s="3"/>
      <c r="S29" s="113" t="s">
        <v>106</v>
      </c>
      <c r="T29" s="26">
        <f>W67*X67*Y67*Z67</f>
        <v>5.3433599999999997</v>
      </c>
      <c r="U29" s="3"/>
      <c r="X29" s="3"/>
      <c r="Y29" s="9"/>
      <c r="Z29" s="9"/>
      <c r="AA29" s="9"/>
      <c r="AB29" s="9"/>
      <c r="AC29" s="9"/>
      <c r="AD29" s="9"/>
      <c r="AE29" s="5"/>
      <c r="AU29" s="123"/>
      <c r="AV29" s="124"/>
    </row>
    <row r="30" spans="1:48" x14ac:dyDescent="0.25">
      <c r="A30" s="109" t="s">
        <v>108</v>
      </c>
      <c r="B30" s="129">
        <v>2.25</v>
      </c>
      <c r="C30" s="210" t="s">
        <v>109</v>
      </c>
      <c r="D30" s="210"/>
      <c r="E30" s="210"/>
      <c r="F30" s="130">
        <f>R3*T30*U2</f>
        <v>42413.723730400001</v>
      </c>
      <c r="G30" s="142" t="s">
        <v>113</v>
      </c>
      <c r="H30" s="128">
        <v>29</v>
      </c>
      <c r="I30" s="3"/>
      <c r="J30" s="3"/>
      <c r="K30" s="3"/>
      <c r="L30" s="3"/>
      <c r="M30" s="3"/>
      <c r="N30" s="3"/>
      <c r="O30" s="5"/>
      <c r="P30" s="3"/>
      <c r="Q30" s="3"/>
      <c r="R30" s="3"/>
      <c r="S30" s="24" t="s">
        <v>110</v>
      </c>
      <c r="T30" s="26">
        <f>W68*X68*Y68*Z68</f>
        <v>21.796455999999999</v>
      </c>
      <c r="U30" s="3"/>
      <c r="X30" s="3"/>
      <c r="Y30" s="9"/>
      <c r="Z30" s="9"/>
      <c r="AA30" s="9"/>
      <c r="AB30" s="9"/>
      <c r="AC30" s="9"/>
      <c r="AD30" s="9"/>
      <c r="AE30" s="5"/>
      <c r="AU30" s="123"/>
      <c r="AV30" s="124"/>
    </row>
    <row r="31" spans="1:48" x14ac:dyDescent="0.25">
      <c r="A31" s="113" t="s">
        <v>118</v>
      </c>
      <c r="B31" s="114">
        <v>2.5</v>
      </c>
      <c r="C31" s="195" t="s">
        <v>120</v>
      </c>
      <c r="D31" s="195"/>
      <c r="E31" s="195"/>
      <c r="F31" s="115">
        <f>R8*T31*U2</f>
        <v>9314.5562839999984</v>
      </c>
      <c r="G31" s="165">
        <f t="shared" ref="G31:G32" si="24">F31*(1+10%)</f>
        <v>10246.011912399999</v>
      </c>
      <c r="H31" s="128">
        <v>30</v>
      </c>
      <c r="I31" s="3"/>
      <c r="J31" s="3"/>
      <c r="K31" s="3"/>
      <c r="L31" s="3"/>
      <c r="M31" s="3"/>
      <c r="N31" s="3"/>
      <c r="O31" s="5"/>
      <c r="P31" s="3"/>
      <c r="Q31" s="3"/>
      <c r="R31" s="3"/>
      <c r="S31" s="113" t="s">
        <v>118</v>
      </c>
      <c r="T31" s="26">
        <f>W69*X69*Y69*Z69</f>
        <v>4.7867599999999992</v>
      </c>
      <c r="U31" s="3"/>
      <c r="X31" s="3"/>
      <c r="Y31" s="9"/>
      <c r="Z31" s="9"/>
      <c r="AA31" s="9"/>
      <c r="AB31" s="9"/>
      <c r="AC31" s="9"/>
      <c r="AD31" s="9"/>
      <c r="AE31" s="5"/>
      <c r="AU31" s="123"/>
      <c r="AV31" s="124"/>
    </row>
    <row r="32" spans="1:48" x14ac:dyDescent="0.25">
      <c r="A32" s="113" t="s">
        <v>119</v>
      </c>
      <c r="B32" s="114">
        <v>2.5</v>
      </c>
      <c r="C32" s="195" t="s">
        <v>121</v>
      </c>
      <c r="D32" s="195"/>
      <c r="E32" s="195"/>
      <c r="F32" s="115">
        <f>R8*T32*U2</f>
        <v>9314.5562839999984</v>
      </c>
      <c r="G32" s="165">
        <f t="shared" si="24"/>
        <v>10246.011912399999</v>
      </c>
      <c r="H32" s="128">
        <v>31</v>
      </c>
      <c r="I32" s="3"/>
      <c r="J32" s="3"/>
      <c r="K32" s="3"/>
      <c r="L32" s="3"/>
      <c r="M32" s="3"/>
      <c r="N32" s="3"/>
      <c r="O32" s="5"/>
      <c r="P32" s="3"/>
      <c r="Q32" s="3"/>
      <c r="R32" s="3"/>
      <c r="S32" s="113" t="s">
        <v>119</v>
      </c>
      <c r="T32" s="26">
        <f>W70*X70*Y70*Z70</f>
        <v>4.7867599999999992</v>
      </c>
      <c r="U32" s="3"/>
      <c r="X32" s="3"/>
      <c r="Y32" s="9"/>
      <c r="Z32" s="9"/>
      <c r="AA32" s="9"/>
      <c r="AB32" s="9"/>
      <c r="AC32" s="9"/>
      <c r="AD32" s="9"/>
      <c r="AE32" s="5"/>
      <c r="AU32" s="123"/>
      <c r="AV32" s="124"/>
    </row>
    <row r="33" spans="1:48" x14ac:dyDescent="0.25">
      <c r="A33" s="107"/>
      <c r="B33" s="6"/>
      <c r="C33" s="95"/>
      <c r="D33" s="95"/>
      <c r="E33" s="95"/>
      <c r="F33" s="79"/>
      <c r="G33" s="5"/>
      <c r="H33" s="3"/>
      <c r="I33" s="3"/>
      <c r="J33" s="3"/>
      <c r="K33" s="3"/>
      <c r="L33" s="3"/>
      <c r="M33" s="3"/>
      <c r="N33" s="3"/>
      <c r="O33" s="5"/>
      <c r="P33" s="3"/>
      <c r="Q33" s="3"/>
      <c r="R33" s="3"/>
      <c r="S33" s="80" t="s">
        <v>134</v>
      </c>
      <c r="T33" s="26">
        <f t="shared" si="1"/>
        <v>21.796455999999999</v>
      </c>
      <c r="U33" s="3"/>
      <c r="X33" s="3"/>
      <c r="Y33" s="9"/>
      <c r="Z33" s="9"/>
      <c r="AA33" s="9"/>
      <c r="AB33" s="9"/>
      <c r="AC33" s="9"/>
      <c r="AD33" s="9"/>
      <c r="AE33" s="5"/>
      <c r="AU33" s="123"/>
      <c r="AV33" s="124"/>
    </row>
    <row r="34" spans="1:48" x14ac:dyDescent="0.25">
      <c r="A34" s="3"/>
      <c r="B34" s="6"/>
      <c r="C34" s="77"/>
      <c r="D34" s="77"/>
      <c r="E34" s="77"/>
      <c r="F34" s="79"/>
      <c r="G34" s="5"/>
      <c r="H34" s="3"/>
      <c r="I34" s="3"/>
      <c r="J34" s="3"/>
      <c r="K34" s="3"/>
      <c r="L34" s="3"/>
      <c r="M34" s="3"/>
      <c r="N34" s="3"/>
      <c r="O34" s="5"/>
      <c r="P34" s="3"/>
      <c r="Q34" s="3"/>
      <c r="R34" s="3"/>
      <c r="S34" s="80"/>
      <c r="T34" s="81"/>
      <c r="U34" s="3"/>
      <c r="X34" s="3"/>
      <c r="Y34" s="9"/>
      <c r="Z34" s="9"/>
      <c r="AA34" s="9"/>
      <c r="AB34" s="9"/>
      <c r="AC34" s="9"/>
      <c r="AD34" s="9"/>
      <c r="AE34" s="5"/>
      <c r="AU34" s="123"/>
      <c r="AV34" s="124"/>
    </row>
    <row r="35" spans="1:48" ht="15.75" thickBot="1" x14ac:dyDescent="0.3">
      <c r="F35" s="3"/>
      <c r="G35" s="3"/>
      <c r="H35" s="3"/>
      <c r="I35" s="3"/>
      <c r="J35" s="3"/>
      <c r="K35" s="3"/>
      <c r="L35" s="3"/>
      <c r="M35" s="3"/>
      <c r="N35" s="3"/>
      <c r="O35" s="5"/>
      <c r="P35" s="3"/>
      <c r="Q35" s="3"/>
      <c r="R35" s="3"/>
      <c r="U35" s="3"/>
      <c r="X35" s="3"/>
      <c r="Y35" s="202"/>
      <c r="Z35" s="202"/>
      <c r="AA35" s="202"/>
      <c r="AB35" s="202"/>
      <c r="AC35" s="202"/>
      <c r="AD35" s="202"/>
      <c r="AE35" s="5"/>
    </row>
    <row r="36" spans="1:48" ht="21" x14ac:dyDescent="0.35">
      <c r="A36" s="27" t="s">
        <v>42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S36" s="51" t="s">
        <v>49</v>
      </c>
      <c r="T36" s="25" t="s">
        <v>36</v>
      </c>
      <c r="V36" s="23" t="s">
        <v>0</v>
      </c>
      <c r="W36" s="25" t="s">
        <v>65</v>
      </c>
      <c r="X36" s="24" t="s">
        <v>171</v>
      </c>
      <c r="Y36" s="24" t="s">
        <v>62</v>
      </c>
      <c r="Z36" t="s">
        <v>170</v>
      </c>
    </row>
    <row r="37" spans="1:48" ht="17.25" x14ac:dyDescent="0.3">
      <c r="A37" s="30" t="s">
        <v>14</v>
      </c>
      <c r="B37" s="19">
        <v>1</v>
      </c>
      <c r="C37" s="20">
        <v>1.1000000000000001</v>
      </c>
      <c r="D37" s="19">
        <v>1.2</v>
      </c>
      <c r="E37" s="20">
        <v>1.3</v>
      </c>
      <c r="F37" s="19">
        <v>1.4</v>
      </c>
      <c r="G37" s="20">
        <v>1.5</v>
      </c>
      <c r="H37" s="19">
        <v>1.6</v>
      </c>
      <c r="I37" s="20">
        <v>1.7</v>
      </c>
      <c r="J37" s="19">
        <v>1.8</v>
      </c>
      <c r="K37" s="20">
        <v>1.9</v>
      </c>
      <c r="L37" s="19">
        <v>2</v>
      </c>
      <c r="M37" s="20">
        <v>2.2000000000000002</v>
      </c>
      <c r="N37" s="19">
        <v>2.4</v>
      </c>
      <c r="O37" s="20">
        <v>2.6</v>
      </c>
      <c r="P37" s="19">
        <v>2.8</v>
      </c>
      <c r="Q37" s="31">
        <v>3</v>
      </c>
      <c r="R37" s="8"/>
      <c r="S37" s="25" t="s">
        <v>32</v>
      </c>
      <c r="T37" s="26">
        <f>W5</f>
        <v>2.11</v>
      </c>
      <c r="U37" s="7"/>
      <c r="V37" s="24" t="s">
        <v>153</v>
      </c>
      <c r="W37" s="26">
        <v>4.1500000000000004</v>
      </c>
      <c r="X37" s="89">
        <v>1.6</v>
      </c>
      <c r="Y37" s="71">
        <v>1.21</v>
      </c>
      <c r="Z37" s="150">
        <v>1.1499999999999999</v>
      </c>
    </row>
    <row r="38" spans="1:48" ht="17.25" x14ac:dyDescent="0.3">
      <c r="A38" s="30" t="s">
        <v>15</v>
      </c>
      <c r="B38" s="21">
        <f>R6*W11*U2</f>
        <v>26931.255999999998</v>
      </c>
      <c r="C38" s="21">
        <f>B38+((T37*0.1*2)+(T39*0.1*2))*R6</f>
        <v>28459.555999999997</v>
      </c>
      <c r="D38" s="21">
        <f>B38+((T37*0.2*2)+(T39*0.2*2))*R6</f>
        <v>29987.856</v>
      </c>
      <c r="E38" s="21">
        <f>B38+((T37*0.3*2)+(T39*0.3*2))*R6</f>
        <v>31516.155999999995</v>
      </c>
      <c r="F38" s="21">
        <f>B38+((T37*0.4*2)+(T39*0.4*2))*R6</f>
        <v>33044.455999999998</v>
      </c>
      <c r="G38" s="21">
        <f>B38+((T37*0.5*2)+(T39*0.5*2))*R6</f>
        <v>34572.755999999994</v>
      </c>
      <c r="H38" s="21">
        <f>B38+((T37*0.6*2)+(T39*0.6*2))*R6</f>
        <v>36101.055999999997</v>
      </c>
      <c r="I38" s="21">
        <f>B38+((T37*0.7*2)+(T39*0.7*2))*R6</f>
        <v>37629.356</v>
      </c>
      <c r="J38" s="21">
        <f>B38+((T37*0.8*2)+(T39*0.8*2))*R6</f>
        <v>39157.656000000003</v>
      </c>
      <c r="K38" s="21">
        <f>B38+((T37*0.9*2)+(T39*0.9*2))*R6</f>
        <v>40685.955999999998</v>
      </c>
      <c r="L38" s="21">
        <f>B38+((T37*1*2)+(T39*1*2))*R6</f>
        <v>42214.255999999994</v>
      </c>
      <c r="M38" s="21">
        <f>B38+((T37*1.2*2)+(T39*1.2*2))*R6</f>
        <v>45270.856</v>
      </c>
      <c r="N38" s="21">
        <f>B38+((T37*1.4*2)+(T39*1.4*2))*R6</f>
        <v>48327.455999999991</v>
      </c>
      <c r="O38" s="21">
        <f>B38+((T37*1.6*2)+(T39*1.6*2))*R6</f>
        <v>51384.055999999997</v>
      </c>
      <c r="P38" s="21">
        <f>B38+((T37*1.8*2)+(T39*1.8*2))*R6</f>
        <v>54440.656000000003</v>
      </c>
      <c r="Q38" s="32">
        <f>B38+((T37*2*2)+(T39*2*2))*R6</f>
        <v>57497.255999999994</v>
      </c>
      <c r="R38" s="5"/>
      <c r="S38" s="25" t="s">
        <v>33</v>
      </c>
      <c r="T38" s="26">
        <f>X5</f>
        <v>3.4</v>
      </c>
      <c r="U38" s="5"/>
      <c r="V38" s="24" t="s">
        <v>132</v>
      </c>
      <c r="W38" s="26">
        <v>5.4</v>
      </c>
      <c r="X38" s="89">
        <v>1.6</v>
      </c>
      <c r="Y38" s="71">
        <v>1.21</v>
      </c>
      <c r="Z38" s="150">
        <v>1.1499999999999999</v>
      </c>
    </row>
    <row r="39" spans="1:48" ht="18" thickBot="1" x14ac:dyDescent="0.35">
      <c r="A39" s="30" t="s">
        <v>16</v>
      </c>
      <c r="B39" s="93">
        <f>R6*X11*U2</f>
        <v>30947.593599999997</v>
      </c>
      <c r="C39" s="94">
        <f>B39+((T38*0.1*2)+(T39*0.1*2))*R6</f>
        <v>32849.993599999994</v>
      </c>
      <c r="D39" s="94">
        <f>B39+((T38*0.2*2)+(T39*0.2*2))*R6</f>
        <v>34752.393599999996</v>
      </c>
      <c r="E39" s="94">
        <f>B39+((T38*0.3*2)+(T39*0.3*2))*R6</f>
        <v>36654.793599999997</v>
      </c>
      <c r="F39" s="94">
        <f>B39+((T38*0.4*2)+(T39*0.4*2))*R6</f>
        <v>38557.193599999999</v>
      </c>
      <c r="G39" s="21">
        <f>B39+((T38*0.5*2)+(T39*0.5*2))*R6</f>
        <v>40459.593599999993</v>
      </c>
      <c r="H39" s="21">
        <f>B39+((T37*0.6*2)+(T39*0.6*2))*R6</f>
        <v>40117.393599999996</v>
      </c>
      <c r="I39" s="21">
        <f>B39+((T38*0.7*2)+(T39*0.7*2))*R6</f>
        <v>44264.393599999996</v>
      </c>
      <c r="J39" s="21">
        <f>B39+((T38*0.8*2)+(T39*0.8*2))*R6</f>
        <v>46166.793599999997</v>
      </c>
      <c r="K39" s="21">
        <f>B39+((T38*0.9*2)+(T39*0.9*2))*R6</f>
        <v>48069.193599999999</v>
      </c>
      <c r="L39" s="21">
        <f>B39+((T38*1*2)+(T39*1*2))*R6</f>
        <v>49971.593599999993</v>
      </c>
      <c r="M39" s="21">
        <f>B39+((T38*1.2*2)+(T39*1.2*2))*R6</f>
        <v>53776.393599999996</v>
      </c>
      <c r="N39" s="21">
        <f>B39+((T38*1.4*2)+(T39*1.4*2))*R6</f>
        <v>57581.193599999999</v>
      </c>
      <c r="O39" s="21">
        <f>B39+((T38*1.6*2)+(T39*1.6*2))*R6</f>
        <v>61385.993600000002</v>
      </c>
      <c r="P39" s="21">
        <f>B39+((T38*1.8*2)+(T39*1.8*2))*R6</f>
        <v>65190.79359999999</v>
      </c>
      <c r="Q39" s="32">
        <f>B39+((T38*2*2)+(T39*2*2))*R6</f>
        <v>68995.593599999993</v>
      </c>
      <c r="R39" s="3"/>
      <c r="S39" s="25" t="s">
        <v>34</v>
      </c>
      <c r="T39" s="26">
        <f>X4</f>
        <v>3.16</v>
      </c>
      <c r="U39" s="3"/>
      <c r="V39" s="24" t="s">
        <v>133</v>
      </c>
      <c r="W39" s="26">
        <v>5.68</v>
      </c>
      <c r="X39" s="89">
        <v>1.6</v>
      </c>
      <c r="Y39" s="71">
        <v>1.21</v>
      </c>
      <c r="Z39" s="150">
        <v>1.1499999999999999</v>
      </c>
    </row>
    <row r="40" spans="1:48" ht="21" x14ac:dyDescent="0.35">
      <c r="A40" s="133" t="s">
        <v>117</v>
      </c>
      <c r="B40" s="207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9"/>
      <c r="R40" s="3"/>
      <c r="S40" s="25" t="s">
        <v>35</v>
      </c>
      <c r="T40" s="26">
        <f>AA4</f>
        <v>3.33</v>
      </c>
      <c r="U40" s="3"/>
      <c r="V40" s="24" t="s">
        <v>5</v>
      </c>
      <c r="W40" s="26">
        <v>6.5</v>
      </c>
      <c r="X40" s="89">
        <v>1.6</v>
      </c>
      <c r="Y40" s="71">
        <v>1.21</v>
      </c>
      <c r="Z40" s="150">
        <v>1.1499999999999999</v>
      </c>
    </row>
    <row r="41" spans="1:48" ht="17.25" x14ac:dyDescent="0.3">
      <c r="A41" s="140" t="s">
        <v>116</v>
      </c>
      <c r="B41" s="93">
        <f>AS11*R6*U2</f>
        <v>72605.420800000022</v>
      </c>
      <c r="C41" s="94">
        <f>B41+((T44*0.1*2)+(T46*0.1*2))*R6</f>
        <v>76508.820800000016</v>
      </c>
      <c r="D41" s="94">
        <f>B41+((T44*0.2*2)+(T46*0.2*2))*R6</f>
        <v>80412.220800000025</v>
      </c>
      <c r="E41" s="94">
        <f>B41+((T44*0.3*2)+(T46*0.3*2))*R6</f>
        <v>84315.620800000019</v>
      </c>
      <c r="F41" s="94">
        <f>B41+((T44*0.4*2)+(T46*0.4*2))*R6</f>
        <v>88219.020800000028</v>
      </c>
      <c r="G41" s="21">
        <f>B41+((T44*0.5*2)+(T45*0.5*2))*R6</f>
        <v>91629.420800000022</v>
      </c>
      <c r="H41" s="21">
        <f>B41+((T44*0.6*2)+(T46*0.6*2))*R6</f>
        <v>96025.820800000016</v>
      </c>
      <c r="I41" s="21">
        <f>B41+((T44*0.7*2)+(T46*0.7*2))*R6</f>
        <v>99929.220800000025</v>
      </c>
      <c r="J41" s="21">
        <f>B41+((T44*0.8*2)+(T46*0.8*2))*R6</f>
        <v>103832.62080000002</v>
      </c>
      <c r="K41" s="21">
        <f>B41+((T44*0.9*2)+(T46*0.9*2))*R6</f>
        <v>107736.02080000003</v>
      </c>
      <c r="L41" s="21">
        <f>B41+((T44*1*2)+(T46*1*2))*R6</f>
        <v>111639.42080000002</v>
      </c>
      <c r="M41" s="21">
        <f>B41+((T44*1.2*2)+(T46*1.2*2))*R6</f>
        <v>119446.22080000002</v>
      </c>
      <c r="N41" s="21">
        <f>B41+((T44*1.4*2)+(T46*1.4*2))*R6</f>
        <v>127253.02080000003</v>
      </c>
      <c r="O41" s="21">
        <f>B41+((T44*1.6*2)+(T46*1.6*2))*R6</f>
        <v>135059.82080000002</v>
      </c>
      <c r="P41" s="21">
        <f>B41+((T44*1.8*2)+(T46*1.8*2))*R6</f>
        <v>142866.62080000003</v>
      </c>
      <c r="Q41" s="32">
        <f>B41+((T44*2*2)+(T46*2*2))*R6</f>
        <v>150673.42080000002</v>
      </c>
      <c r="R41" s="3"/>
      <c r="S41" s="25" t="s">
        <v>142</v>
      </c>
      <c r="T41" s="2">
        <f>AT4</f>
        <v>5.0199999999999996</v>
      </c>
      <c r="U41" s="3"/>
      <c r="V41" s="24" t="s">
        <v>144</v>
      </c>
      <c r="W41" s="26">
        <v>3.7</v>
      </c>
      <c r="X41" s="89">
        <v>1.6</v>
      </c>
      <c r="Y41" s="71">
        <v>1.21</v>
      </c>
      <c r="Z41" s="150">
        <v>1.1499999999999999</v>
      </c>
    </row>
    <row r="42" spans="1:48" ht="17.25" x14ac:dyDescent="0.3">
      <c r="A42" s="33"/>
      <c r="B42" s="193"/>
      <c r="C42" s="193"/>
      <c r="D42" s="193"/>
      <c r="E42" s="193"/>
      <c r="F42" s="139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5"/>
      <c r="R42" s="8"/>
      <c r="S42" s="50" t="s">
        <v>61</v>
      </c>
      <c r="T42" s="25" t="s">
        <v>36</v>
      </c>
      <c r="U42" s="7"/>
      <c r="V42" s="24" t="s">
        <v>7</v>
      </c>
      <c r="W42" s="26">
        <v>5.5</v>
      </c>
      <c r="X42" s="89">
        <v>1.6</v>
      </c>
      <c r="Y42" s="71">
        <v>1.21</v>
      </c>
      <c r="Z42" s="150">
        <v>1.1499999999999999</v>
      </c>
    </row>
    <row r="43" spans="1:48" ht="21" x14ac:dyDescent="0.35">
      <c r="A43" s="36" t="s">
        <v>43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5"/>
      <c r="R43" s="5"/>
      <c r="S43" s="25" t="s">
        <v>32</v>
      </c>
      <c r="T43" s="26">
        <f>AG5</f>
        <v>4.22</v>
      </c>
      <c r="U43" s="5"/>
      <c r="V43" s="24" t="s">
        <v>8</v>
      </c>
      <c r="W43" s="26">
        <v>5.5</v>
      </c>
      <c r="X43" s="89">
        <v>1.6</v>
      </c>
      <c r="Y43" s="71">
        <v>1.21</v>
      </c>
      <c r="Z43" s="150">
        <v>1.1499999999999999</v>
      </c>
    </row>
    <row r="44" spans="1:48" ht="17.25" x14ac:dyDescent="0.3">
      <c r="A44" s="30" t="s">
        <v>14</v>
      </c>
      <c r="B44" s="19">
        <v>1</v>
      </c>
      <c r="C44" s="20">
        <v>1.1000000000000001</v>
      </c>
      <c r="D44" s="19">
        <v>1.2</v>
      </c>
      <c r="E44" s="20">
        <v>1.3</v>
      </c>
      <c r="F44" s="19">
        <v>1.4</v>
      </c>
      <c r="G44" s="20">
        <v>1.5</v>
      </c>
      <c r="H44" s="19">
        <v>1.6</v>
      </c>
      <c r="I44" s="20">
        <v>1.7</v>
      </c>
      <c r="J44" s="19">
        <v>1.8</v>
      </c>
      <c r="K44" s="20">
        <v>1.9</v>
      </c>
      <c r="L44" s="19">
        <v>2</v>
      </c>
      <c r="M44" s="20">
        <v>2.2000000000000002</v>
      </c>
      <c r="N44" s="19">
        <v>2.4</v>
      </c>
      <c r="O44" s="20">
        <v>2.6</v>
      </c>
      <c r="P44" s="19">
        <v>2.8</v>
      </c>
      <c r="Q44" s="31">
        <v>3</v>
      </c>
      <c r="R44" s="3"/>
      <c r="S44" s="25" t="s">
        <v>33</v>
      </c>
      <c r="T44" s="26">
        <f>AH5</f>
        <v>6.8</v>
      </c>
      <c r="U44" s="3"/>
      <c r="V44" s="24" t="s">
        <v>38</v>
      </c>
      <c r="W44" s="26">
        <v>3.6</v>
      </c>
      <c r="X44" s="89">
        <v>1.6</v>
      </c>
      <c r="Y44" s="71">
        <v>1.21</v>
      </c>
      <c r="Z44" s="150">
        <v>1.1499999999999999</v>
      </c>
    </row>
    <row r="45" spans="1:48" ht="17.25" x14ac:dyDescent="0.3">
      <c r="A45" s="30" t="s">
        <v>15</v>
      </c>
      <c r="B45" s="21">
        <f>R6*Y11*U2</f>
        <v>26464.240000000005</v>
      </c>
      <c r="C45" s="21">
        <f>B45+((T37*0.1*2)+(T39*0.1*2))*R6</f>
        <v>27992.540000000005</v>
      </c>
      <c r="D45" s="21">
        <f>B45+((T37*0.2*2)+(T39*0.2*2))*R6</f>
        <v>29520.840000000004</v>
      </c>
      <c r="E45" s="21">
        <f>B45+((T37*0.3*2)+(T39*0.3*2))*R6</f>
        <v>31049.140000000007</v>
      </c>
      <c r="F45" s="21">
        <f>B45+((T37*0.4*2)+(T39*0.4*2))*R6</f>
        <v>32577.440000000006</v>
      </c>
      <c r="G45" s="21">
        <f>B45+((T37*0.5*2)+(T39*0.5*2))*R6</f>
        <v>34105.740000000005</v>
      </c>
      <c r="H45" s="21">
        <f>B45+((T37*0.6*2)+(T39*0.6*2))*R6</f>
        <v>35634.040000000008</v>
      </c>
      <c r="I45" s="21">
        <f>B45+((T37*0.7*2)+(T39*0.7*2))*R6</f>
        <v>37162.340000000004</v>
      </c>
      <c r="J45" s="21">
        <f>B45+((T37*0.8*2)+(T39*0.8*2))*R6</f>
        <v>38690.640000000007</v>
      </c>
      <c r="K45" s="21">
        <f>B45+((T37*0.9*2)+(T39*0.9*2))*R6</f>
        <v>40218.94</v>
      </c>
      <c r="L45" s="21">
        <f>B45+((T37*1*2)+(T39*1*2))*R6</f>
        <v>41747.240000000005</v>
      </c>
      <c r="M45" s="21">
        <f>B45+((T37*1.2*2)+(T39*1.2*2))*R6</f>
        <v>44803.840000000004</v>
      </c>
      <c r="N45" s="21">
        <f>B45+((T37*1.4*2)+(T39*1.4*2))*R6</f>
        <v>47860.44</v>
      </c>
      <c r="O45" s="21">
        <f>B45+((T37*1.6*2)+(T39*1.6*2))*R6</f>
        <v>50917.040000000008</v>
      </c>
      <c r="P45" s="21">
        <f>B45+((T37*1.8*2)+(T39*1.8*2))*R6</f>
        <v>53973.640000000007</v>
      </c>
      <c r="Q45" s="32">
        <f>B45+((T37*2*2)+(T39*2*2))*R6</f>
        <v>57030.240000000005</v>
      </c>
      <c r="R45" s="3"/>
      <c r="S45" s="25" t="s">
        <v>34</v>
      </c>
      <c r="T45" s="26">
        <f>AG4</f>
        <v>6.32</v>
      </c>
      <c r="U45" s="3"/>
      <c r="V45" s="24" t="s">
        <v>63</v>
      </c>
      <c r="W45" s="26">
        <v>3.6</v>
      </c>
      <c r="X45" s="89">
        <v>1.6</v>
      </c>
      <c r="Y45" s="71">
        <v>1.21</v>
      </c>
      <c r="Z45" s="150">
        <v>1.1499999999999999</v>
      </c>
    </row>
    <row r="46" spans="1:48" ht="17.25" x14ac:dyDescent="0.3">
      <c r="A46" s="30" t="s">
        <v>16</v>
      </c>
      <c r="B46" s="22">
        <f>R6*Z11*U2</f>
        <v>30480.577600000001</v>
      </c>
      <c r="C46" s="21">
        <f>B46+((T38*0.1*2)+(T39*0.1*2))*R6</f>
        <v>32382.977600000002</v>
      </c>
      <c r="D46" s="21">
        <f>B46+((T38*0.2*2)+(T39*0.2*2))*R6</f>
        <v>34285.3776</v>
      </c>
      <c r="E46" s="21">
        <f>B46+((T38*0.3*2)+(T39*0.3*2))*R6</f>
        <v>36187.777600000001</v>
      </c>
      <c r="F46" s="21">
        <f>B46+((T38*0.4*2)+(T39*0.4*2))*R6</f>
        <v>38090.177600000003</v>
      </c>
      <c r="G46" s="21">
        <f>B46+((T38*0.5*2)+(T39*0.5*2))*R6</f>
        <v>39992.577600000004</v>
      </c>
      <c r="H46" s="21">
        <f>B46+((T38*0.6*2)+(T39*0.6*2))*R6</f>
        <v>41894.977599999998</v>
      </c>
      <c r="I46" s="21">
        <f>B46+((T38*0.7*2)+(T39*0.7*2))*R6</f>
        <v>43797.3776</v>
      </c>
      <c r="J46" s="21">
        <f>B46+((T38*0.8*2)+(T39*0.8*2))*R6</f>
        <v>45699.777600000001</v>
      </c>
      <c r="K46" s="21">
        <f>B46+((T38*0.9*2)+(T39*0.9*2))*R6</f>
        <v>47602.177599999995</v>
      </c>
      <c r="L46" s="21">
        <f>B46+((T38*1*2)+(T39*1*2))*R6</f>
        <v>49504.577600000004</v>
      </c>
      <c r="M46" s="21">
        <f>B46+((T38*1.2*2)+(T39*1.2*2))*R6</f>
        <v>53309.3776</v>
      </c>
      <c r="N46" s="21">
        <f>B46+((T38*1.4*2)+(T39*1.4*2))*R6</f>
        <v>57114.177599999995</v>
      </c>
      <c r="O46" s="21">
        <f>B46+((T38*1.6*2)+(T39*1.6*2))*R6</f>
        <v>60918.977600000006</v>
      </c>
      <c r="P46" s="21">
        <f>B46+((T38*1.8*2)+(T39*1.8*2))*R6</f>
        <v>64723.777600000001</v>
      </c>
      <c r="Q46" s="32">
        <f>B46+((T38*2*2)+(T39*2*2))*R6</f>
        <v>68528.577600000004</v>
      </c>
      <c r="R46" s="3"/>
      <c r="S46" s="25" t="s">
        <v>35</v>
      </c>
      <c r="T46" s="26">
        <f>AI4</f>
        <v>6.66</v>
      </c>
      <c r="U46" s="3"/>
      <c r="V46" s="24" t="s">
        <v>64</v>
      </c>
      <c r="W46" s="26">
        <v>5.92</v>
      </c>
      <c r="X46" s="89">
        <v>1.6</v>
      </c>
      <c r="Y46" s="71">
        <v>1.21</v>
      </c>
      <c r="Z46" s="150">
        <v>1.1499999999999999</v>
      </c>
    </row>
    <row r="47" spans="1:48" ht="17.25" x14ac:dyDescent="0.3">
      <c r="A47" s="54"/>
      <c r="B47" s="61"/>
      <c r="C47" s="49"/>
      <c r="D47" s="49"/>
      <c r="E47" s="49"/>
      <c r="F47" s="49"/>
      <c r="G47" s="49"/>
      <c r="H47" s="49"/>
      <c r="I47" s="62"/>
      <c r="J47" s="62"/>
      <c r="K47" s="62"/>
      <c r="L47" s="62"/>
      <c r="M47" s="49"/>
      <c r="N47" s="49"/>
      <c r="O47" s="49"/>
      <c r="P47" s="49"/>
      <c r="Q47" s="55"/>
      <c r="R47" s="3"/>
      <c r="S47" s="25" t="s">
        <v>149</v>
      </c>
      <c r="T47" s="2">
        <f>AV4</f>
        <v>3.33</v>
      </c>
      <c r="U47" s="3"/>
      <c r="V47" s="24" t="s">
        <v>102</v>
      </c>
      <c r="W47" s="26">
        <v>4.3</v>
      </c>
      <c r="X47" s="89">
        <v>1.6</v>
      </c>
      <c r="Y47" s="71">
        <v>1.21</v>
      </c>
      <c r="Z47" s="150">
        <v>1.1499999999999999</v>
      </c>
    </row>
    <row r="48" spans="1:48" ht="17.25" x14ac:dyDescent="0.3">
      <c r="A48" s="60" t="s">
        <v>53</v>
      </c>
      <c r="B48" s="47">
        <f>R6*T50*U2</f>
        <v>11286.220000000003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55"/>
      <c r="R48" s="3"/>
      <c r="U48" s="3"/>
      <c r="V48" s="24" t="s">
        <v>104</v>
      </c>
      <c r="W48" s="26">
        <v>10.61</v>
      </c>
      <c r="X48" s="89">
        <v>1.6</v>
      </c>
      <c r="Y48" s="71">
        <v>1.21</v>
      </c>
      <c r="Z48" s="150">
        <v>1.1499999999999999</v>
      </c>
    </row>
    <row r="49" spans="1:26" ht="17.25" x14ac:dyDescent="0.3">
      <c r="A49" s="33"/>
      <c r="B49" s="37"/>
      <c r="C49" s="37"/>
      <c r="D49" s="37"/>
      <c r="E49" s="37"/>
      <c r="F49" s="37"/>
      <c r="G49" s="37"/>
      <c r="H49" s="37"/>
      <c r="I49" s="63"/>
      <c r="J49" s="63"/>
      <c r="K49" s="63"/>
      <c r="L49" s="63"/>
      <c r="M49" s="37"/>
      <c r="N49" s="37"/>
      <c r="O49" s="37"/>
      <c r="P49" s="37"/>
      <c r="Q49" s="35"/>
      <c r="R49" s="8"/>
      <c r="S49" s="7"/>
      <c r="T49" s="25" t="s">
        <v>36</v>
      </c>
      <c r="U49" s="7"/>
      <c r="V49" s="24" t="s">
        <v>124</v>
      </c>
      <c r="W49" s="26">
        <v>3.6</v>
      </c>
      <c r="X49" s="89">
        <v>1.6</v>
      </c>
      <c r="Y49" s="71">
        <v>1.21</v>
      </c>
      <c r="Z49" s="150">
        <v>1.1499999999999999</v>
      </c>
    </row>
    <row r="50" spans="1:26" ht="21" x14ac:dyDescent="0.35">
      <c r="A50" s="194" t="s">
        <v>45</v>
      </c>
      <c r="B50" s="19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2"/>
      <c r="R50" s="5"/>
      <c r="S50" s="58" t="s">
        <v>54</v>
      </c>
      <c r="T50" s="59">
        <f>(AG3-(Y3*2))*2</f>
        <v>5.8000000000000007</v>
      </c>
      <c r="U50" s="5"/>
      <c r="V50" s="24" t="s">
        <v>123</v>
      </c>
      <c r="W50" s="26">
        <v>4.4000000000000004</v>
      </c>
      <c r="X50" s="89">
        <v>1.6</v>
      </c>
      <c r="Y50" s="71">
        <v>1.21</v>
      </c>
      <c r="Z50" s="150">
        <v>1.1499999999999999</v>
      </c>
    </row>
    <row r="51" spans="1:26" ht="17.25" x14ac:dyDescent="0.3">
      <c r="A51" s="30" t="s">
        <v>14</v>
      </c>
      <c r="B51" s="19">
        <v>1</v>
      </c>
      <c r="C51" s="20">
        <v>1.1000000000000001</v>
      </c>
      <c r="D51" s="19">
        <v>1.2</v>
      </c>
      <c r="E51" s="20">
        <v>1.3</v>
      </c>
      <c r="F51" s="19">
        <v>1.4</v>
      </c>
      <c r="G51" s="20">
        <v>1.5</v>
      </c>
      <c r="H51" s="19">
        <v>1.6</v>
      </c>
      <c r="I51" s="20">
        <v>1.7</v>
      </c>
      <c r="J51" s="19">
        <v>1.8</v>
      </c>
      <c r="K51" s="20">
        <v>1.9</v>
      </c>
      <c r="L51" s="19">
        <v>2</v>
      </c>
      <c r="M51" s="20">
        <v>2.2000000000000002</v>
      </c>
      <c r="N51" s="19">
        <v>2.4</v>
      </c>
      <c r="O51" s="20">
        <v>2.6</v>
      </c>
      <c r="P51" s="19">
        <v>2.8</v>
      </c>
      <c r="Q51" s="31">
        <v>3</v>
      </c>
      <c r="R51" s="3"/>
      <c r="S51" s="58" t="s">
        <v>55</v>
      </c>
      <c r="T51" s="59">
        <f>(AL3-(AA3*2))*2</f>
        <v>-1.58</v>
      </c>
      <c r="U51" s="3"/>
      <c r="V51" s="92" t="s">
        <v>80</v>
      </c>
      <c r="W51" s="26">
        <v>7.88</v>
      </c>
      <c r="X51" s="89">
        <v>1.6</v>
      </c>
      <c r="Y51" s="71">
        <v>1.21</v>
      </c>
      <c r="Z51" s="150">
        <v>1.1499999999999999</v>
      </c>
    </row>
    <row r="52" spans="1:26" ht="17.25" x14ac:dyDescent="0.3">
      <c r="A52" s="30" t="s">
        <v>15</v>
      </c>
      <c r="B52" s="47">
        <f>R8*AC11*U2</f>
        <v>30978.728000000003</v>
      </c>
      <c r="C52" s="21">
        <f>B52+((T37*0.1*2)+(T39*0.1*2))*R6</f>
        <v>32507.028000000002</v>
      </c>
      <c r="D52" s="21">
        <f>B52+((T37*0.2*2)+(T39*0.2*2))*R6</f>
        <v>34035.328000000001</v>
      </c>
      <c r="E52" s="21">
        <f>B52+((T37*0.3*2)+(T39*0.3*2))*R6</f>
        <v>35563.628000000004</v>
      </c>
      <c r="F52" s="21">
        <f>B52+((T37*0.4*2)+(T39*0.4*2))*R6</f>
        <v>37091.928</v>
      </c>
      <c r="G52" s="21">
        <f>B52+((T37*0.5*2)+(T39*0.5*2))*R6</f>
        <v>38620.228000000003</v>
      </c>
      <c r="H52" s="21">
        <f>B52+((T37*0.6*2)+(T39*0.6*2))*R6</f>
        <v>40148.528000000006</v>
      </c>
      <c r="I52" s="21">
        <f>B52+((T37*0.7*2)+(T39*0.7*2))*R6</f>
        <v>41676.828000000001</v>
      </c>
      <c r="J52" s="21">
        <f>B52+((T37*0.8*2)+(T39*0.8*2))*R6</f>
        <v>43205.128000000004</v>
      </c>
      <c r="K52" s="21">
        <f>B52+((T37*0.9*2)+(T39*0.9*2))*R6</f>
        <v>44733.428</v>
      </c>
      <c r="L52" s="21">
        <f>B52+((T37*1*2)+(T39*1*2))*R6</f>
        <v>46261.728000000003</v>
      </c>
      <c r="M52" s="21">
        <f>B52+((T37*1.2*2)+(T39*1.2*2))*R6</f>
        <v>49318.328000000001</v>
      </c>
      <c r="N52" s="21">
        <f>B52+((T37*1.4*2)+(T39*1.4*2))*R6</f>
        <v>52374.928</v>
      </c>
      <c r="O52" s="21">
        <f>B52+((T37*1.6*2)+(T39*1.6*2))*R6</f>
        <v>55431.528000000006</v>
      </c>
      <c r="P52" s="21">
        <f>B52+((T37*1.8*2)+(T39*1.8*2))*R6</f>
        <v>58488.128000000004</v>
      </c>
      <c r="Q52" s="32">
        <f>B52+((T37*2*2)+(T39*2*2))*R6</f>
        <v>61544.728000000003</v>
      </c>
      <c r="R52" s="3"/>
      <c r="S52" s="58" t="s">
        <v>83</v>
      </c>
      <c r="T52" s="96">
        <f>(AM3-W3*2)*2</f>
        <v>-0.71999999999999886</v>
      </c>
      <c r="U52" s="3"/>
      <c r="V52" s="24" t="s">
        <v>73</v>
      </c>
      <c r="W52" s="78">
        <v>8</v>
      </c>
      <c r="X52" s="89">
        <v>1.6</v>
      </c>
      <c r="Y52" s="71">
        <v>1.21</v>
      </c>
      <c r="Z52" s="150">
        <v>1.1499999999999999</v>
      </c>
    </row>
    <row r="53" spans="1:26" ht="18" thickBot="1" x14ac:dyDescent="0.35">
      <c r="A53" s="38" t="s">
        <v>16</v>
      </c>
      <c r="B53" s="53">
        <f>R8*AD11*U2</f>
        <v>34995.065600000009</v>
      </c>
      <c r="C53" s="40">
        <f>B53+((T38*0.1*2)+(T39*0.1*2))*R6</f>
        <v>36897.46560000001</v>
      </c>
      <c r="D53" s="40">
        <f>B53+((T38*0.2*2)+(T39*0.2*2))*R6</f>
        <v>38799.865600000012</v>
      </c>
      <c r="E53" s="40">
        <f>B53+((T38*0.3*2)+(T39*0.3*2))*R6</f>
        <v>40702.265600000006</v>
      </c>
      <c r="F53" s="40">
        <f>B53+((T38*0.4*2)+(T39*0.4*2))*R6</f>
        <v>42604.665600000008</v>
      </c>
      <c r="G53" s="40">
        <f>B53+((T38*0.5*2)+(T39*0.5*2))*R6</f>
        <v>44507.065600000009</v>
      </c>
      <c r="H53" s="40">
        <f>B53+((T38*0.6*2)+(T39*0.6*2))*R6</f>
        <v>46409.46560000001</v>
      </c>
      <c r="I53" s="40">
        <f>B53+((T38*0.7*2)+(T39*0.7*2))*R6</f>
        <v>48311.865600000005</v>
      </c>
      <c r="J53" s="40">
        <f>B53+((T38*0.8*2)+(T39*0.8*2))*R6</f>
        <v>50214.265600000013</v>
      </c>
      <c r="K53" s="40">
        <f>B53+((T38*0.9*2)+(T39*0.9*2))*R6</f>
        <v>52116.665600000008</v>
      </c>
      <c r="L53" s="40">
        <f>B53+((T38*1*2)+(T39*1*2))*R6</f>
        <v>54019.065600000009</v>
      </c>
      <c r="M53" s="40">
        <f>B53+((T38*1.2*2)+(T39*1.2*2))*R6</f>
        <v>57823.865600000005</v>
      </c>
      <c r="N53" s="40">
        <f>B53+((T38*1.4*2)+(T39*1.4*2))*R6</f>
        <v>61628.665600000008</v>
      </c>
      <c r="O53" s="40">
        <f>B53+((T38*1.6*2)+(T39*1.6*2))*R6</f>
        <v>65433.46560000001</v>
      </c>
      <c r="P53" s="40">
        <f>B53+((T38*1.8*2)+(T39*1.8*2))*R6</f>
        <v>69238.265600000013</v>
      </c>
      <c r="Q53" s="41">
        <f>B53+((T38*2*2)+(T39*2*2))*R6</f>
        <v>73043.065600000002</v>
      </c>
      <c r="R53" s="3"/>
      <c r="S53" s="15" t="s">
        <v>70</v>
      </c>
      <c r="T53" s="76" t="s">
        <v>69</v>
      </c>
      <c r="U53" s="1" t="s">
        <v>72</v>
      </c>
      <c r="V53" s="112" t="s">
        <v>74</v>
      </c>
      <c r="W53" s="78">
        <v>5</v>
      </c>
      <c r="X53" s="89">
        <v>1.6</v>
      </c>
      <c r="Y53" s="71">
        <v>1.21</v>
      </c>
      <c r="Z53" s="150">
        <v>1.1499999999999999</v>
      </c>
    </row>
    <row r="54" spans="1:26" ht="18" thickBot="1" x14ac:dyDescent="0.35">
      <c r="A54" s="48"/>
      <c r="B54" s="5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3"/>
      <c r="S54" s="15" t="s">
        <v>67</v>
      </c>
      <c r="T54" s="76">
        <v>31000</v>
      </c>
      <c r="U54" s="111">
        <v>1.452</v>
      </c>
      <c r="V54" s="108" t="s">
        <v>151</v>
      </c>
      <c r="W54" s="26">
        <v>5.3</v>
      </c>
      <c r="X54" s="89">
        <v>1.6</v>
      </c>
      <c r="Y54" s="71">
        <v>1.21</v>
      </c>
      <c r="Z54" s="150">
        <v>1.1499999999999999</v>
      </c>
    </row>
    <row r="55" spans="1:26" ht="21" x14ac:dyDescent="0.35">
      <c r="A55" s="205" t="s">
        <v>59</v>
      </c>
      <c r="B55" s="206"/>
      <c r="C55" s="206"/>
      <c r="D55" s="206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9"/>
      <c r="R55" s="3"/>
      <c r="S55" s="15" t="s">
        <v>71</v>
      </c>
      <c r="T55" s="76">
        <v>32000</v>
      </c>
      <c r="U55" s="111">
        <v>1.452</v>
      </c>
      <c r="V55" s="24" t="s">
        <v>99</v>
      </c>
      <c r="W55" s="26">
        <v>6.77</v>
      </c>
      <c r="X55" s="89">
        <v>1.6</v>
      </c>
      <c r="Y55" s="71">
        <v>1.21</v>
      </c>
      <c r="Z55" s="150">
        <v>1.1499999999999999</v>
      </c>
    </row>
    <row r="56" spans="1:26" ht="17.25" x14ac:dyDescent="0.3">
      <c r="A56" s="30" t="s">
        <v>14</v>
      </c>
      <c r="B56" s="19">
        <v>1</v>
      </c>
      <c r="C56" s="20">
        <v>1.1000000000000001</v>
      </c>
      <c r="D56" s="19">
        <v>1.2</v>
      </c>
      <c r="E56" s="20">
        <v>1.3</v>
      </c>
      <c r="F56" s="19">
        <v>1.4</v>
      </c>
      <c r="G56" s="20">
        <v>1.5</v>
      </c>
      <c r="H56" s="19">
        <v>1.6</v>
      </c>
      <c r="I56" s="20">
        <v>1.7</v>
      </c>
      <c r="J56" s="19">
        <v>1.8</v>
      </c>
      <c r="K56" s="20">
        <v>1.9</v>
      </c>
      <c r="L56" s="19">
        <v>2</v>
      </c>
      <c r="M56" s="20">
        <v>2.2000000000000002</v>
      </c>
      <c r="N56" s="19">
        <v>2.4</v>
      </c>
      <c r="O56" s="20">
        <v>2.6</v>
      </c>
      <c r="P56" s="19">
        <v>2.8</v>
      </c>
      <c r="Q56" s="31">
        <v>3</v>
      </c>
      <c r="R56" s="3"/>
      <c r="S56" s="3"/>
      <c r="T56" s="3"/>
      <c r="U56" s="3"/>
      <c r="V56" s="84" t="s">
        <v>137</v>
      </c>
      <c r="W56" s="26">
        <v>4</v>
      </c>
      <c r="X56" s="89">
        <v>1.6</v>
      </c>
      <c r="Y56" s="71">
        <v>1.21</v>
      </c>
      <c r="Z56" s="150">
        <v>1.1499999999999999</v>
      </c>
    </row>
    <row r="57" spans="1:26" ht="17.25" x14ac:dyDescent="0.3">
      <c r="A57" s="116" t="s">
        <v>116</v>
      </c>
      <c r="B57" s="135">
        <f>R6*AG11*U2</f>
        <v>60338.467199999999</v>
      </c>
      <c r="C57" s="94">
        <f>B57+((T43*0.1*2)+(T45*0.1*2))*R6</f>
        <v>63395.067199999998</v>
      </c>
      <c r="D57" s="94">
        <f>B57+((T43*0.2*2)+(T45*0.2*2))*R6</f>
        <v>66451.667199999996</v>
      </c>
      <c r="E57" s="94">
        <f>B57+((T43*0.3*2)+(T45*0.3*2))*R6</f>
        <v>69508.267200000002</v>
      </c>
      <c r="F57" s="94">
        <f>B57+((T43*0.4*2)+(T45*0.4*2))*R6</f>
        <v>72564.867200000008</v>
      </c>
      <c r="G57" s="94">
        <f>B57+((T43*0.5*2)+(T45*0.5*2))*R6</f>
        <v>75621.467199999999</v>
      </c>
      <c r="H57" s="94">
        <f>B57+((T43*0.6*2)+(T45*0.6*2))*R6</f>
        <v>78678.06719999999</v>
      </c>
      <c r="I57" s="94">
        <f>B57+((T43*0.7*2)+(T45*0.7*2))*R6</f>
        <v>81734.667199999996</v>
      </c>
      <c r="J57" s="94">
        <f>B57+((T43*0.8*2)+(T45*0.8*2))*R6</f>
        <v>84791.267200000002</v>
      </c>
      <c r="K57" s="94">
        <f>B57+((T43*0.9*2)+(T45*0.9*2))*R6</f>
        <v>87847.867200000008</v>
      </c>
      <c r="L57" s="94">
        <f>B57+((T43*1*2)+(T45*1*2))*R6</f>
        <v>90904.467199999999</v>
      </c>
      <c r="M57" s="94">
        <f>B57+((T43*1.2*2)+(T45*1.2*2))*R6</f>
        <v>97017.667199999996</v>
      </c>
      <c r="N57" s="94">
        <f>B57+((T43*1.4*2)+(T45*1.4*2))*R6</f>
        <v>103130.86719999999</v>
      </c>
      <c r="O57" s="94">
        <f>B57+((T43*1.6*2)+(T45*1.6*2))*R6</f>
        <v>109244.0672</v>
      </c>
      <c r="P57" s="94">
        <f>B57+((T43*1.8*2)+(T45*1.8*2))*R6</f>
        <v>115357.2672</v>
      </c>
      <c r="Q57" s="136">
        <f>B57+((T43*2*2)+(T45*2*2))*R6</f>
        <v>121470.46719999998</v>
      </c>
      <c r="R57" s="3"/>
      <c r="S57" s="59">
        <f>U54*T54</f>
        <v>45012</v>
      </c>
      <c r="T57" s="6">
        <f>S57</f>
        <v>45012</v>
      </c>
      <c r="U57" s="3">
        <f>T57</f>
        <v>45012</v>
      </c>
      <c r="V57" s="84" t="s">
        <v>89</v>
      </c>
      <c r="W57" s="26">
        <v>9.5</v>
      </c>
      <c r="X57" s="89">
        <v>1.6</v>
      </c>
      <c r="Y57" s="71">
        <v>1.21</v>
      </c>
      <c r="Z57" s="150">
        <v>1.1499999999999999</v>
      </c>
    </row>
    <row r="58" spans="1:26" ht="17.25" x14ac:dyDescent="0.3">
      <c r="A58" s="137"/>
      <c r="B58" s="138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3"/>
      <c r="S58" s="59">
        <f>U55*T55</f>
        <v>46464</v>
      </c>
      <c r="T58" s="6">
        <f>S58</f>
        <v>46464</v>
      </c>
      <c r="U58" s="3">
        <f>T58</f>
        <v>46464</v>
      </c>
      <c r="V58" s="84" t="s">
        <v>91</v>
      </c>
      <c r="W58" s="26">
        <v>7.68</v>
      </c>
      <c r="X58" s="89">
        <v>1.6</v>
      </c>
      <c r="Y58" s="71">
        <v>1.21</v>
      </c>
      <c r="Z58" s="150">
        <v>1.1499999999999999</v>
      </c>
    </row>
    <row r="59" spans="1:26" ht="18" thickBot="1" x14ac:dyDescent="0.35">
      <c r="A59" s="54"/>
      <c r="B59" s="5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55"/>
      <c r="R59" s="3"/>
      <c r="S59" s="3"/>
      <c r="T59" s="3"/>
      <c r="U59" s="3">
        <f>U57*U2</f>
        <v>60406.104000000007</v>
      </c>
      <c r="V59" s="84" t="s">
        <v>93</v>
      </c>
      <c r="W59" s="26">
        <v>8</v>
      </c>
      <c r="X59" s="89">
        <v>1.6</v>
      </c>
      <c r="Y59" s="71">
        <v>1.21</v>
      </c>
      <c r="Z59" s="150">
        <v>1.1499999999999999</v>
      </c>
    </row>
    <row r="60" spans="1:26" ht="21" x14ac:dyDescent="0.35">
      <c r="A60" s="97" t="s">
        <v>44</v>
      </c>
      <c r="B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100"/>
      <c r="R60" s="3"/>
      <c r="S60" s="3"/>
      <c r="T60" s="3"/>
      <c r="U60" s="3">
        <f>U58*U2</f>
        <v>62354.688000000002</v>
      </c>
      <c r="V60" s="84" t="s">
        <v>95</v>
      </c>
      <c r="W60" s="26">
        <v>9.1</v>
      </c>
      <c r="X60" s="89">
        <v>1.6</v>
      </c>
      <c r="Y60" s="71">
        <v>1.21</v>
      </c>
      <c r="Z60" s="150">
        <v>1.1499999999999999</v>
      </c>
    </row>
    <row r="61" spans="1:26" ht="17.25" x14ac:dyDescent="0.3">
      <c r="A61" s="30" t="s">
        <v>14</v>
      </c>
      <c r="B61" s="66">
        <v>1</v>
      </c>
      <c r="C61" s="67">
        <v>1.1000000000000001</v>
      </c>
      <c r="D61" s="66">
        <v>1.2</v>
      </c>
      <c r="E61" s="67">
        <v>1.3</v>
      </c>
      <c r="F61" s="66">
        <v>1.4</v>
      </c>
      <c r="G61" s="67">
        <v>1.5</v>
      </c>
      <c r="H61" s="66">
        <v>1.6</v>
      </c>
      <c r="I61" s="67">
        <v>1.7</v>
      </c>
      <c r="J61" s="66">
        <v>1.8</v>
      </c>
      <c r="K61" s="67">
        <v>1.9</v>
      </c>
      <c r="L61" s="66">
        <v>2</v>
      </c>
      <c r="M61" s="67">
        <v>2.2000000000000002</v>
      </c>
      <c r="N61" s="66">
        <v>2.4</v>
      </c>
      <c r="O61" s="67">
        <v>2.6</v>
      </c>
      <c r="P61" s="66">
        <v>2.8</v>
      </c>
      <c r="Q61" s="68">
        <v>3</v>
      </c>
      <c r="R61" s="3"/>
      <c r="S61" s="3"/>
      <c r="T61" s="3" t="s">
        <v>150</v>
      </c>
      <c r="U61" s="5">
        <f>U59*0.9</f>
        <v>54365.493600000009</v>
      </c>
      <c r="V61" s="84" t="s">
        <v>98</v>
      </c>
      <c r="W61" s="26">
        <v>7.14</v>
      </c>
      <c r="X61" s="89">
        <v>1.6</v>
      </c>
      <c r="Y61" s="71">
        <v>1.21</v>
      </c>
      <c r="Z61" s="150">
        <v>1.1499999999999999</v>
      </c>
    </row>
    <row r="62" spans="1:26" ht="17.25" x14ac:dyDescent="0.3">
      <c r="A62" s="30" t="s">
        <v>15</v>
      </c>
      <c r="B62" s="21">
        <f>R6*AA11*U2</f>
        <v>31352.340800000005</v>
      </c>
      <c r="C62" s="21">
        <f>B62+((T37*0.1*2)+(T40*0.1*2))*R6</f>
        <v>32929.940800000004</v>
      </c>
      <c r="D62" s="21">
        <f>B62+((T37*0.2*2)+(T40*0.2*2))*R6</f>
        <v>34507.540800000002</v>
      </c>
      <c r="E62" s="21">
        <f>B62+((T37*0.3*2)+(T40*0.3*2))*R6</f>
        <v>36085.140800000008</v>
      </c>
      <c r="F62" s="21">
        <f>B62+((T37*0.4*2)+(T40*0.4*2))*R6</f>
        <v>37662.740800000007</v>
      </c>
      <c r="G62" s="21">
        <f>B62+((T37*0.5*2)+(T40*0.5*2))*R6</f>
        <v>39240.340800000005</v>
      </c>
      <c r="H62" s="21">
        <f>B62+((T37*0.6*2)+(T40*0.6*2))*R6</f>
        <v>40817.940800000004</v>
      </c>
      <c r="I62" s="21">
        <f>B62+((T37*0.7*2)+(T40*0.7*2))*R6</f>
        <v>42395.540800000002</v>
      </c>
      <c r="J62" s="21">
        <f>B62+((T37*0.8*2)+(T40*0.8*2))*R6</f>
        <v>43973.140800000008</v>
      </c>
      <c r="K62" s="21">
        <f>B62+((T37*0.9*2)+(T40*0.9*2))*R6</f>
        <v>45550.740800000007</v>
      </c>
      <c r="L62" s="21">
        <f>B62+((T37*1*2)+(T40*1*2))*R6</f>
        <v>47128.340800000005</v>
      </c>
      <c r="M62" s="21">
        <f>B62+((T37*1.2*2)+(T40*1.2*2))*R6</f>
        <v>50283.540800000002</v>
      </c>
      <c r="N62" s="21">
        <f>B62+((T37*1.4*2)+(T40*1.4*2))*R6</f>
        <v>53438.7408</v>
      </c>
      <c r="O62" s="21">
        <f>B62+((T37*1.6*2)+(T40*1.6*2))*R6</f>
        <v>56593.940800000011</v>
      </c>
      <c r="P62" s="21">
        <f>B62+((T37*1.8*2)+(T40*1.8*2))*R6</f>
        <v>59749.140800000008</v>
      </c>
      <c r="Q62" s="32">
        <f>B62+((T37*2*2)+(T40*2*2))*R6</f>
        <v>62904.340800000005</v>
      </c>
      <c r="R62" s="3"/>
      <c r="S62" s="3"/>
      <c r="T62" s="3"/>
      <c r="U62" s="5">
        <f>U60*0.9</f>
        <v>56119.2192</v>
      </c>
      <c r="V62" s="1" t="s">
        <v>134</v>
      </c>
      <c r="W62" s="1">
        <v>5.7</v>
      </c>
      <c r="X62" s="89">
        <v>1.6</v>
      </c>
      <c r="Y62" s="71">
        <v>1.21</v>
      </c>
      <c r="Z62" s="150">
        <v>1.1499999999999999</v>
      </c>
    </row>
    <row r="63" spans="1:26" ht="17.25" x14ac:dyDescent="0.3">
      <c r="A63" s="30" t="s">
        <v>16</v>
      </c>
      <c r="B63" s="22">
        <f>R6*AB11*U2</f>
        <v>35368.678399999997</v>
      </c>
      <c r="C63" s="21">
        <f>B63+((T38*0.1*2)+(T40*0.1*2))*R6</f>
        <v>37320.378399999994</v>
      </c>
      <c r="D63" s="21">
        <f>B63+((T38*0.2*2)+(T40*0.2*2))*R6</f>
        <v>39272.078399999999</v>
      </c>
      <c r="E63" s="21">
        <f>B63+((T38*0.3*2)+(T40*0.3*2))*R6</f>
        <v>41223.778399999996</v>
      </c>
      <c r="F63" s="21">
        <f>B63+((T38*0.4*2)+(T40*0.4*2))*R6</f>
        <v>43175.4784</v>
      </c>
      <c r="G63" s="21">
        <f>B63+((T38*0.5*2)+(T40*0.5*2))*R6</f>
        <v>45127.178399999997</v>
      </c>
      <c r="H63" s="21">
        <f>B63+((T38*0.6*2)+(T40*0.6*2))*R6</f>
        <v>47078.878400000001</v>
      </c>
      <c r="I63" s="21">
        <f>B63+((T38*0.7*2)+(T40*0.7*2))*R6</f>
        <v>49030.578399999999</v>
      </c>
      <c r="J63" s="21">
        <f>B63+((T38*0.8*2)+(T40*0.8*2))*R6</f>
        <v>50982.278399999996</v>
      </c>
      <c r="K63" s="21">
        <f>B63+((T38*0.9*2)+(T40*0.9*2))*R6</f>
        <v>52933.9784</v>
      </c>
      <c r="L63" s="21">
        <f>B63+((T38*1*2)+(T40*1*2))*R6</f>
        <v>54885.678399999997</v>
      </c>
      <c r="M63" s="21">
        <f>B63+((T38*1.2*2)+(T40*1.2*2))*R6</f>
        <v>58789.078399999999</v>
      </c>
      <c r="N63" s="21">
        <f>B63+((T38*1.4*2)+(T40*1.4*2))*R6</f>
        <v>62692.4784</v>
      </c>
      <c r="O63" s="21">
        <f>B63+((T38*1.6*2)+(T40*1.6*2))*R6</f>
        <v>66595.878400000001</v>
      </c>
      <c r="P63" s="21">
        <f>B63+((T38*1.8*2)+(T40*1.8*2))*R6</f>
        <v>70499.27840000001</v>
      </c>
      <c r="Q63" s="32">
        <f>B63+((T38*2*2)+(T40*2*2))*R6</f>
        <v>74402.678400000004</v>
      </c>
      <c r="R63" s="3"/>
      <c r="S63" s="3"/>
      <c r="T63" s="3"/>
      <c r="U63" s="3"/>
      <c r="V63" s="84" t="s">
        <v>100</v>
      </c>
      <c r="W63" s="26">
        <v>3.01</v>
      </c>
      <c r="X63" s="89">
        <v>1.6</v>
      </c>
      <c r="Y63" s="71">
        <v>1.21</v>
      </c>
      <c r="Z63" s="150">
        <v>1.1499999999999999</v>
      </c>
    </row>
    <row r="64" spans="1:26" hidden="1" x14ac:dyDescent="0.25">
      <c r="A64" s="3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2"/>
      <c r="R64" s="3"/>
      <c r="S64" s="3"/>
      <c r="T64" s="3"/>
      <c r="U64" s="3"/>
      <c r="V64" s="3"/>
      <c r="W64" s="3"/>
      <c r="X64" s="89">
        <v>1.6</v>
      </c>
      <c r="Y64" s="71">
        <v>1.21</v>
      </c>
      <c r="Z64" s="150">
        <v>1.1499999999999999</v>
      </c>
    </row>
    <row r="65" spans="1:26" ht="17.25" x14ac:dyDescent="0.3">
      <c r="A65" s="64" t="s">
        <v>58</v>
      </c>
      <c r="B65" s="47">
        <f>R6*T51*U2</f>
        <v>-3074.5220000000004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2"/>
      <c r="R65" s="3"/>
      <c r="S65" s="3"/>
      <c r="T65" s="3"/>
      <c r="U65" s="3"/>
      <c r="V65" s="113" t="s">
        <v>101</v>
      </c>
      <c r="W65" s="26">
        <v>5.15</v>
      </c>
      <c r="X65" s="89">
        <v>1.6</v>
      </c>
      <c r="Y65" s="71">
        <v>1.21</v>
      </c>
      <c r="Z65" s="150">
        <v>1.1499999999999999</v>
      </c>
    </row>
    <row r="66" spans="1:26" ht="17.25" hidden="1" x14ac:dyDescent="0.3">
      <c r="A66" s="65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2"/>
      <c r="V66" s="113"/>
      <c r="W66" s="26">
        <v>6</v>
      </c>
      <c r="X66" s="89">
        <v>1.6</v>
      </c>
      <c r="Y66" s="71">
        <v>1.21</v>
      </c>
      <c r="Z66" s="150">
        <v>1.1499999999999999</v>
      </c>
    </row>
    <row r="67" spans="1:26" ht="21" x14ac:dyDescent="0.35">
      <c r="A67" s="191" t="s">
        <v>48</v>
      </c>
      <c r="B67" s="192"/>
      <c r="C67" s="101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3"/>
      <c r="V67" s="113" t="s">
        <v>106</v>
      </c>
      <c r="W67" s="26">
        <v>2.4</v>
      </c>
      <c r="X67" s="89">
        <v>1.6</v>
      </c>
      <c r="Y67" s="71">
        <v>1.21</v>
      </c>
      <c r="Z67" s="150">
        <v>1.1499999999999999</v>
      </c>
    </row>
    <row r="68" spans="1:26" ht="21" x14ac:dyDescent="0.35">
      <c r="A68" s="203" t="s">
        <v>48</v>
      </c>
      <c r="B68" s="204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70"/>
      <c r="V68" s="113" t="s">
        <v>108</v>
      </c>
      <c r="W68" s="26">
        <v>9.7899999999999991</v>
      </c>
      <c r="X68" s="89">
        <v>1.6</v>
      </c>
      <c r="Y68" s="71">
        <v>1.21</v>
      </c>
      <c r="Z68" s="150">
        <v>1.1499999999999999</v>
      </c>
    </row>
    <row r="69" spans="1:26" ht="17.25" x14ac:dyDescent="0.3">
      <c r="A69" s="30" t="s">
        <v>14</v>
      </c>
      <c r="B69" s="19">
        <v>1</v>
      </c>
      <c r="C69" s="20">
        <v>1.1000000000000001</v>
      </c>
      <c r="D69" s="19">
        <v>1.2</v>
      </c>
      <c r="E69" s="20">
        <v>1.3</v>
      </c>
      <c r="F69" s="19">
        <v>1.4</v>
      </c>
      <c r="G69" s="20">
        <v>1.5</v>
      </c>
      <c r="H69" s="19">
        <v>1.6</v>
      </c>
      <c r="I69" s="20">
        <v>1.7</v>
      </c>
      <c r="J69" s="19">
        <v>1.8</v>
      </c>
      <c r="K69" s="20">
        <v>1.9</v>
      </c>
      <c r="L69" s="19">
        <v>2</v>
      </c>
      <c r="M69" s="20">
        <v>2.2000000000000002</v>
      </c>
      <c r="N69" s="19">
        <v>2.4</v>
      </c>
      <c r="O69" s="20">
        <v>2.6</v>
      </c>
      <c r="P69" s="19">
        <v>2.8</v>
      </c>
      <c r="Q69" s="31">
        <v>3</v>
      </c>
      <c r="V69" s="113" t="s">
        <v>118</v>
      </c>
      <c r="W69" s="141">
        <v>2.15</v>
      </c>
      <c r="X69" s="89">
        <v>1.6</v>
      </c>
      <c r="Y69" s="71">
        <v>1.21</v>
      </c>
      <c r="Z69" s="150">
        <v>1.1499999999999999</v>
      </c>
    </row>
    <row r="70" spans="1:26" ht="17.25" x14ac:dyDescent="0.3">
      <c r="A70" s="30" t="s">
        <v>15</v>
      </c>
      <c r="B70" s="21">
        <f>R8*AE11*U2</f>
        <v>33064.732800000005</v>
      </c>
      <c r="C70" s="21">
        <f>B70+((T37*0.1*2)+(T40*0.1*2))*R6</f>
        <v>34642.332800000004</v>
      </c>
      <c r="D70" s="21">
        <f>B70+((T37*0.2*2)+(T40*0.2*2))*R6</f>
        <v>36219.932800000002</v>
      </c>
      <c r="E70" s="21">
        <f>B70+((T37*0.3*2)+(T40*0.3*2))*R6</f>
        <v>37797.532800000001</v>
      </c>
      <c r="F70" s="21">
        <f>B70+((T37*0.4*2)+(T40*0.4*2))*R6</f>
        <v>39375.132800000007</v>
      </c>
      <c r="G70" s="21">
        <f>B70+((T37*0.5*2)+(T40*0.5*2))*R6</f>
        <v>40952.732800000005</v>
      </c>
      <c r="H70" s="21">
        <f>B70+((T37*0.6*2)+(T40*0.6*2))*R6</f>
        <v>42530.332800000004</v>
      </c>
      <c r="I70" s="21">
        <f>B70+((T37*0.7*2)+(T40*0.7*2))*R6</f>
        <v>44107.932800000002</v>
      </c>
      <c r="J70" s="21">
        <f>B70+((T37*0.8*2)+(T40*0.8*2))*R6</f>
        <v>45685.532800000008</v>
      </c>
      <c r="K70" s="21">
        <f>B70+((T37*0.9*2)+(T40*0.9*2))*R6</f>
        <v>47263.132800000007</v>
      </c>
      <c r="L70" s="21">
        <f>B70+((T37*1*2)+(T40*1*2))*R6</f>
        <v>48840.732800000005</v>
      </c>
      <c r="M70" s="21">
        <f>B70+((T37*1.2*2)+(T40*1.2*2))*R6</f>
        <v>51995.932800000002</v>
      </c>
      <c r="N70" s="21">
        <f>B70+((T37*1.4*2)+(T40*1.4*2))*R6</f>
        <v>55151.132800000007</v>
      </c>
      <c r="O70" s="21">
        <f>B70+((T37*1.6*2)+(T40*1.6*2))*R6</f>
        <v>58306.332800000004</v>
      </c>
      <c r="P70" s="21">
        <f>B70+((T37*1.8*2)+(T40*1.8*2))*R6</f>
        <v>61461.532800000008</v>
      </c>
      <c r="Q70" s="32">
        <f>B70+((T37*2*2)+(T40*2*2))*R6</f>
        <v>64616.732799999998</v>
      </c>
      <c r="V70" s="113" t="s">
        <v>119</v>
      </c>
      <c r="W70" s="141">
        <v>2.15</v>
      </c>
      <c r="X70" s="89">
        <v>1.6</v>
      </c>
      <c r="Y70" s="71">
        <v>1.21</v>
      </c>
      <c r="Z70" s="150">
        <v>1.1499999999999999</v>
      </c>
    </row>
    <row r="71" spans="1:26" ht="17.25" x14ac:dyDescent="0.3">
      <c r="A71" s="30" t="s">
        <v>16</v>
      </c>
      <c r="B71" s="22">
        <f>R8*AF11*U2</f>
        <v>37081.070400000004</v>
      </c>
      <c r="C71" s="21">
        <f>B71+((T38*0.1*2)+(T40*0.1*2))*R6</f>
        <v>39032.770400000001</v>
      </c>
      <c r="D71" s="21">
        <f>B71+((T38*0.2*2)+(T40*0.2*2))*R6</f>
        <v>40984.470400000006</v>
      </c>
      <c r="E71" s="21">
        <f>B71+((T38*0.3*2)+(T40*0.3*2))*R6</f>
        <v>42936.170400000003</v>
      </c>
      <c r="F71" s="21">
        <f>B71+((T38*0.4*2)+(T40*0.4*2))*R6</f>
        <v>44887.870400000007</v>
      </c>
      <c r="G71" s="21">
        <f>B71+((T38*0.5*2)+(T40*0.5*2))*R6</f>
        <v>46839.570400000004</v>
      </c>
      <c r="H71" s="21">
        <f>B71+((T38*0.6*2)+(T40*0.6*2))*R6</f>
        <v>48791.270400000009</v>
      </c>
      <c r="I71" s="21">
        <f>B71+((T38*0.7*2)+(T40*0.7*2))*R6</f>
        <v>50742.970400000006</v>
      </c>
      <c r="J71" s="21">
        <f>B71+((T38*0.8*2)+(T40*0.8*2))*R6</f>
        <v>52694.670400000003</v>
      </c>
      <c r="K71" s="21">
        <f>B71+((T38*0.9*2)+(T40*0.9*2))*R6</f>
        <v>54646.370400000007</v>
      </c>
      <c r="L71" s="21">
        <f>B71+((T38*1*2)+(T40*1*2))*R6</f>
        <v>56598.070400000004</v>
      </c>
      <c r="M71" s="21">
        <f>B71+((T38*1.2*2)+(T40*1.2*2))*R6</f>
        <v>60501.470400000006</v>
      </c>
      <c r="N71" s="21">
        <f>B71+((T38*1.4*2)+(T40*1.4*2))*R6</f>
        <v>64404.870400000007</v>
      </c>
      <c r="O71" s="21">
        <f>B71+((T38*1.6*2)+(T40*1.6*2))*R6</f>
        <v>68308.270400000009</v>
      </c>
      <c r="P71" s="21">
        <f>B71+((T38*1.8*2)+(T40*1.8*2))*R6</f>
        <v>72211.670400000003</v>
      </c>
      <c r="Q71" s="32">
        <f>B71+((T38*2*2)+(T40*2*2))*R6</f>
        <v>76115.070399999997</v>
      </c>
    </row>
    <row r="72" spans="1:26" x14ac:dyDescent="0.25">
      <c r="A72" s="3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2"/>
    </row>
    <row r="73" spans="1:26" ht="21" x14ac:dyDescent="0.35">
      <c r="A73" s="186" t="s">
        <v>60</v>
      </c>
      <c r="B73" s="187"/>
      <c r="C73" s="187"/>
      <c r="D73" s="187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5"/>
    </row>
    <row r="74" spans="1:26" ht="17.25" x14ac:dyDescent="0.3">
      <c r="A74" s="30" t="s">
        <v>14</v>
      </c>
      <c r="B74" s="19">
        <v>1</v>
      </c>
      <c r="C74" s="20">
        <v>1.1000000000000001</v>
      </c>
      <c r="D74" s="19">
        <v>1.2</v>
      </c>
      <c r="E74" s="20">
        <v>1.3</v>
      </c>
      <c r="F74" s="19">
        <v>1.4</v>
      </c>
      <c r="G74" s="20">
        <v>1.5</v>
      </c>
      <c r="H74" s="19">
        <v>1.6</v>
      </c>
      <c r="I74" s="20">
        <v>1.7</v>
      </c>
      <c r="J74" s="19">
        <v>1.8</v>
      </c>
      <c r="K74" s="20">
        <v>1.9</v>
      </c>
      <c r="L74" s="19">
        <v>2</v>
      </c>
      <c r="M74" s="20">
        <v>2.2000000000000002</v>
      </c>
      <c r="N74" s="19">
        <v>2.4</v>
      </c>
      <c r="O74" s="20">
        <v>2.6</v>
      </c>
      <c r="P74" s="19">
        <v>2.8</v>
      </c>
      <c r="Q74" s="31">
        <v>3</v>
      </c>
    </row>
    <row r="75" spans="1:26" ht="17.25" hidden="1" x14ac:dyDescent="0.3">
      <c r="A75" s="30" t="s">
        <v>15</v>
      </c>
      <c r="B75" s="21">
        <f>R6*AI11</f>
        <v>51063.200000000004</v>
      </c>
      <c r="C75" s="21">
        <f>B75+((T43*0.1*2)+(T46*0.1*2))*R6</f>
        <v>54218.400000000001</v>
      </c>
      <c r="D75" s="21">
        <f>B75+((T43*0.2*2)+(T46*0.2*2))*R6</f>
        <v>57373.600000000006</v>
      </c>
      <c r="E75" s="21">
        <f>B75+((T43*0.3*2)+(T46*0.3*2))*R6</f>
        <v>60528.800000000003</v>
      </c>
      <c r="F75" s="21">
        <f>B75+((T43*0.4*2)+(T46*0.4*2))*R6</f>
        <v>63684.000000000007</v>
      </c>
      <c r="G75" s="21">
        <f>B75+((T43*0.5*2)+(T46*0.5*2))*R6</f>
        <v>66839.199999999997</v>
      </c>
      <c r="H75" s="21">
        <f>B75+((T43*0.6*2)+(T46*0.6*2))*R6</f>
        <v>69994.399999999994</v>
      </c>
      <c r="I75" s="21">
        <f>B75+((T43*0.7*2)+(T46*0.7*2))*R6</f>
        <v>73149.600000000006</v>
      </c>
      <c r="J75" s="21">
        <f>B75+((T43*0.8*2)+(T46*0.8*2))*R6</f>
        <v>76304.800000000003</v>
      </c>
      <c r="K75" s="21">
        <f>B75+((T43*0.9*2)+(T46*0.9*2))*R6</f>
        <v>79460</v>
      </c>
      <c r="L75" s="21">
        <f>B75+((T43*1*2)+(T46*1*2))*R6</f>
        <v>82615.199999999997</v>
      </c>
      <c r="M75" s="21">
        <f>B75+((T43*1.2*2)+(T46*1.2*2))*R6</f>
        <v>88925.6</v>
      </c>
      <c r="N75" s="21">
        <f>B75+((T43*1.4*2)+(T46*1.4*2))*R6</f>
        <v>95236</v>
      </c>
      <c r="O75" s="21">
        <f>B75+((T43*1.6*2)+(T46*1.6*2))*R6</f>
        <v>101546.40000000001</v>
      </c>
      <c r="P75" s="21">
        <f>B75+((T43*1.8*2)+(T46*1.8*2))*R6</f>
        <v>107856.80000000002</v>
      </c>
      <c r="Q75" s="32">
        <f>B75+((T43*2*2)+(T46*2*2))*R6</f>
        <v>114167.2</v>
      </c>
    </row>
    <row r="76" spans="1:26" ht="18" thickBot="1" x14ac:dyDescent="0.35">
      <c r="A76" s="38" t="s">
        <v>16</v>
      </c>
      <c r="B76" s="39">
        <f>R6*AJ11*U2</f>
        <v>76559.489600000015</v>
      </c>
      <c r="C76" s="40">
        <f>B76+((T44*0.1*2)+(T46*0.1*2))*R6</f>
        <v>80462.88960000001</v>
      </c>
      <c r="D76" s="40">
        <f>B76+((T44*0.2*2)+(T46*0.2*2))*R6</f>
        <v>84366.289600000018</v>
      </c>
      <c r="E76" s="40">
        <f>B76+((T44*0.3*2)+(T46*0.3*2))*R6</f>
        <v>88269.689600000012</v>
      </c>
      <c r="F76" s="40">
        <f>B76+((T44*0.4*2)+(T46*0.4*2))*R6</f>
        <v>92173.089600000021</v>
      </c>
      <c r="G76" s="40">
        <f>B76+((T44*0.5*2)+(T46*0.5*2))*R6</f>
        <v>96076.489600000015</v>
      </c>
      <c r="H76" s="40">
        <f>B76+((T44*0.6*2)+(T46*0.6*2))*R6</f>
        <v>99979.889600000024</v>
      </c>
      <c r="I76" s="40">
        <f>B76+((T44*0.7*2)+(T46*0.7*2))*R6</f>
        <v>103883.28960000002</v>
      </c>
      <c r="J76" s="40">
        <f>B76+((T44*0.8*2)+(T46*0.8*2))*R6</f>
        <v>107786.68960000001</v>
      </c>
      <c r="K76" s="40">
        <f>B76+((T44*0.9*2)+(T46*0.9*2))*R6</f>
        <v>111690.08960000002</v>
      </c>
      <c r="L76" s="40">
        <f>B76+((T44*1*2)+(T46*1*2))*R6</f>
        <v>115593.48960000002</v>
      </c>
      <c r="M76" s="40">
        <f>B76+((T44*1.2*2)+(T46*1.2*2))*R6</f>
        <v>123400.28960000002</v>
      </c>
      <c r="N76" s="40">
        <f>B76+((T44*1.4*2)+(T46*1.4*2))*R6</f>
        <v>131207.08960000001</v>
      </c>
      <c r="O76" s="40">
        <f>B76+((T44*1.6*2)+(T46*1.6*2))*R6</f>
        <v>139013.88960000002</v>
      </c>
      <c r="P76" s="40">
        <f>B76+((T44*1.8*2)+(T46*1.8*2))*R6</f>
        <v>146820.68960000004</v>
      </c>
      <c r="Q76" s="41">
        <f>B76+((T44*2*2)+(T46*2*2))*R6</f>
        <v>154627.48960000003</v>
      </c>
    </row>
    <row r="77" spans="1:26" ht="15.75" thickBot="1" x14ac:dyDescent="0.3"/>
    <row r="78" spans="1:26" ht="21" x14ac:dyDescent="0.35">
      <c r="A78" s="97" t="s">
        <v>84</v>
      </c>
      <c r="B78" s="98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</row>
    <row r="79" spans="1:26" ht="17.25" x14ac:dyDescent="0.3">
      <c r="A79" s="30" t="s">
        <v>14</v>
      </c>
      <c r="B79" s="66">
        <v>1</v>
      </c>
      <c r="C79" s="67">
        <v>1.1000000000000001</v>
      </c>
      <c r="D79" s="66">
        <v>1.2</v>
      </c>
      <c r="E79" s="67">
        <v>1.3</v>
      </c>
      <c r="F79" s="66">
        <v>1.4</v>
      </c>
      <c r="G79" s="67">
        <v>1.5</v>
      </c>
      <c r="H79" s="66">
        <v>1.6</v>
      </c>
      <c r="I79" s="67">
        <v>1.7</v>
      </c>
      <c r="J79" s="66">
        <v>1.8</v>
      </c>
      <c r="K79" s="67">
        <v>1.9</v>
      </c>
      <c r="L79" s="66">
        <v>2</v>
      </c>
      <c r="M79" s="67">
        <v>2.2000000000000002</v>
      </c>
      <c r="N79" s="66">
        <v>2.4</v>
      </c>
      <c r="O79" s="67">
        <v>2.6</v>
      </c>
      <c r="P79" s="66">
        <v>2.8</v>
      </c>
      <c r="Q79" s="68">
        <v>3</v>
      </c>
    </row>
    <row r="80" spans="1:26" ht="17.25" x14ac:dyDescent="0.3">
      <c r="A80" s="116" t="s">
        <v>15</v>
      </c>
      <c r="B80" s="94">
        <f>R6*AP11*U2</f>
        <v>29951.292799999999</v>
      </c>
      <c r="C80" s="94">
        <f>B80+((T37*0.1*2)+(T40*0.1*2))*R6</f>
        <v>31528.892799999998</v>
      </c>
      <c r="D80" s="94">
        <f>B80+((T37*0.2*2)+(T40*0.2*2))*R6</f>
        <v>33106.4928</v>
      </c>
      <c r="E80" s="94">
        <f>B80+((T37*0.3*2)+(T40*0.3*2))*R6</f>
        <v>34684.092799999999</v>
      </c>
      <c r="F80" s="94">
        <f>B80+((T37*0.4*2)+(T40*0.4*2))*R6</f>
        <v>36261.692799999997</v>
      </c>
      <c r="G80" s="94">
        <f>B80+((T37*0.5*2)+(T40*0.5*2))*R6</f>
        <v>37839.292799999996</v>
      </c>
      <c r="H80" s="94">
        <f>B80+((T37*0.6*2)+(T40*0.6*2))*R6</f>
        <v>39416.892800000001</v>
      </c>
      <c r="I80" s="94">
        <f>B80+((T37*0.7*2)+(T40*0.7*2))*R6</f>
        <v>40994.4928</v>
      </c>
      <c r="J80" s="94">
        <f>B80+((T37*0.8*2)+(T40*0.8*2))*R6</f>
        <v>42572.092799999999</v>
      </c>
      <c r="K80" s="94">
        <f>B80+((T37*0.9*2)+(T40*0.9*2))*R6</f>
        <v>44149.692800000004</v>
      </c>
      <c r="L80" s="94">
        <f>B80+((T37*1*2)+(T40*1*2))*R6</f>
        <v>45727.292799999996</v>
      </c>
      <c r="M80" s="94">
        <f>B80+((T37*1.2*2)+(T40*1.2*2))*R6</f>
        <v>48882.492799999993</v>
      </c>
      <c r="N80" s="94">
        <f>B80+((T37*1.4*2)+(T40*1.4*2))*R6</f>
        <v>52037.692799999997</v>
      </c>
      <c r="O80" s="94">
        <f>B80+((T37*1.6*2)+(T40*1.6*2))*R6</f>
        <v>55192.892800000001</v>
      </c>
      <c r="P80" s="94">
        <f>B80+((T37*1.8*2)+(T40*1.8*2))*R6</f>
        <v>58348.092799999999</v>
      </c>
      <c r="Q80" s="136">
        <f>B80+((T37*2*2)+(T40*2*2))*R6</f>
        <v>61503.292799999996</v>
      </c>
    </row>
    <row r="81" spans="1:20" ht="17.25" x14ac:dyDescent="0.3">
      <c r="A81" s="140" t="s">
        <v>16</v>
      </c>
      <c r="B81" s="21">
        <f>R6*AQ11*U2</f>
        <v>33967.630400000002</v>
      </c>
      <c r="C81" s="21">
        <f>B81+((T38*0.1*2)+(T40*0.1*2))*R6</f>
        <v>35919.330399999999</v>
      </c>
      <c r="D81" s="21">
        <f>B81+((T38*0.2*2)+(T40*0.2*2))*R6</f>
        <v>37871.030400000003</v>
      </c>
      <c r="E81" s="21">
        <f>B81+((T38*0.3*2)+(T40*0.3*2))*R6</f>
        <v>39822.7304</v>
      </c>
      <c r="F81" s="21">
        <f>B81+((T38*0.4*2)+(T40*0.4*2))*R6</f>
        <v>41774.430400000005</v>
      </c>
      <c r="G81" s="21">
        <f>B81+((T38*0.5*2)+(T40*0.5*2))*R6</f>
        <v>43726.130400000002</v>
      </c>
      <c r="H81" s="21">
        <f>B81+((T38*0.6*2)+(T40*0.6*2))*R6</f>
        <v>45677.830400000006</v>
      </c>
      <c r="I81" s="21">
        <f>B81+((T38*0.7*2)+(T40*0.7*2))*R6</f>
        <v>47629.530400000003</v>
      </c>
      <c r="J81" s="21">
        <f>B81+((T38*0.8*2)+(T40*0.8*2))*R6</f>
        <v>49581.2304</v>
      </c>
      <c r="K81" s="21">
        <f>B81+((T38*0.9*2)+(T40*0.9*2))*R6</f>
        <v>51532.930400000005</v>
      </c>
      <c r="L81" s="21">
        <f>B81+((T38*1*2)+(T40*1*2))*R6</f>
        <v>53484.630400000002</v>
      </c>
      <c r="M81" s="21">
        <f>B81+((T38*1.2*2)+(T40*1.2*2))*R6</f>
        <v>57388.030400000003</v>
      </c>
      <c r="N81" s="21">
        <f>B81+((T38*1.4*2)+(T40*1.4*2))*R6</f>
        <v>61291.430400000005</v>
      </c>
      <c r="O81" s="21">
        <f>B81+((T38*1.6*2)+(T40*1.6*2))*R6</f>
        <v>65194.830400000006</v>
      </c>
      <c r="P81" s="21">
        <f>B81+((T38*1.8*2)+(T40*1.8*2))*R6</f>
        <v>69098.2304</v>
      </c>
      <c r="Q81" s="21">
        <f>B81+((T38*2*2)+(T40*2*2))*R6</f>
        <v>73001.630399999995</v>
      </c>
    </row>
    <row r="82" spans="1:20" ht="15.75" thickBot="1" x14ac:dyDescent="0.3"/>
    <row r="83" spans="1:20" ht="21" x14ac:dyDescent="0.35">
      <c r="A83" s="97" t="s">
        <v>111</v>
      </c>
      <c r="B83" s="98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100"/>
    </row>
    <row r="84" spans="1:20" ht="17.25" x14ac:dyDescent="0.3">
      <c r="A84" s="30" t="s">
        <v>14</v>
      </c>
      <c r="B84" s="66">
        <v>1</v>
      </c>
      <c r="C84" s="67">
        <v>1.1000000000000001</v>
      </c>
      <c r="D84" s="66">
        <v>1.2</v>
      </c>
      <c r="E84" s="67">
        <v>1.3</v>
      </c>
      <c r="F84" s="66">
        <v>1.4</v>
      </c>
      <c r="G84" s="67">
        <v>1.5</v>
      </c>
      <c r="H84" s="66">
        <v>1.6</v>
      </c>
      <c r="I84" s="67">
        <v>1.7</v>
      </c>
      <c r="J84" s="66">
        <v>1.8</v>
      </c>
      <c r="K84" s="67">
        <v>1.9</v>
      </c>
      <c r="L84" s="66">
        <v>2</v>
      </c>
      <c r="M84" s="67">
        <v>2.2000000000000002</v>
      </c>
      <c r="N84" s="66">
        <v>2.4</v>
      </c>
      <c r="O84" s="67">
        <v>2.6</v>
      </c>
      <c r="P84" s="66">
        <v>2.8</v>
      </c>
      <c r="Q84" s="68">
        <v>3</v>
      </c>
    </row>
    <row r="85" spans="1:20" ht="18" thickBot="1" x14ac:dyDescent="0.35">
      <c r="A85" s="30" t="s">
        <v>116</v>
      </c>
      <c r="B85" s="21">
        <f>R6*AR11*U2</f>
        <v>78583.225600000005</v>
      </c>
      <c r="C85" s="21">
        <f>B85+((T43*0.1*2)+(T46*0.1*2))*R6</f>
        <v>81738.425600000002</v>
      </c>
      <c r="D85" s="21">
        <f>B85+((T43*0.2*2)+(T46*0.2*2))*R6</f>
        <v>84893.625599999999</v>
      </c>
      <c r="E85" s="21">
        <f>B85+((T43*0.3*2)+(T46*0.3*2))*R6</f>
        <v>88048.825600000011</v>
      </c>
      <c r="F85" s="21">
        <f>B85+((T43*0.4*2)+(T46*0.4*2))*R6</f>
        <v>91204.025600000008</v>
      </c>
      <c r="G85" s="21">
        <f>B85+((T43*0.5*2)+(T46*0.5*2))*R6</f>
        <v>94359.225600000005</v>
      </c>
      <c r="H85" s="21">
        <f>B85+((T43*0.6*2)+(T46*0.6*2))*R6</f>
        <v>97514.425600000002</v>
      </c>
      <c r="I85" s="21">
        <f>B85+((T43*0.7*2)+(T46*0.7*2))*R6</f>
        <v>100669.6256</v>
      </c>
      <c r="J85" s="21">
        <f>B85+((T43*0.8*2)+(T46*0.8*2))*R6</f>
        <v>103824.82560000001</v>
      </c>
      <c r="K85" s="21">
        <f>B85+((T43*0.9*2)+(T46*0.9*2))*R6</f>
        <v>106980.02560000001</v>
      </c>
      <c r="L85" s="21">
        <f>B85+((T43*1*2)+(T46*1*2))*R6</f>
        <v>110135.22560000001</v>
      </c>
      <c r="M85" s="21">
        <f>B85+((T43*1.2*2)+(T46*1.2*2))*R6</f>
        <v>116445.6256</v>
      </c>
      <c r="N85" s="21">
        <f>B85+((T43*1.4*2)+(T46*1.4*2))*R6</f>
        <v>122756.02559999999</v>
      </c>
      <c r="O85" s="21">
        <f>B85+((T43*1.6*2)+(T46*1.6*2))*R6</f>
        <v>129066.42560000002</v>
      </c>
      <c r="P85" s="21">
        <f>B85+((T43*1.8*2)+(T46*1.8*2))*R6</f>
        <v>135376.82560000001</v>
      </c>
      <c r="Q85" s="32">
        <f>B85+((T43*2*2)+(T46*2*2))*R6</f>
        <v>141687.22560000001</v>
      </c>
    </row>
    <row r="86" spans="1:20" ht="18.75" x14ac:dyDescent="0.3">
      <c r="A86" s="117" t="s">
        <v>66</v>
      </c>
      <c r="B86" s="118" t="s">
        <v>69</v>
      </c>
    </row>
    <row r="87" spans="1:20" ht="18.75" x14ac:dyDescent="0.3">
      <c r="A87" s="119" t="s">
        <v>67</v>
      </c>
      <c r="B87" s="120">
        <v>62500</v>
      </c>
      <c r="D87" s="201"/>
      <c r="E87" s="201"/>
      <c r="F87" s="201"/>
      <c r="G87" s="201"/>
      <c r="S87">
        <v>9189</v>
      </c>
      <c r="T87">
        <f>S87*(1+5.56%)</f>
        <v>9699.9084000000003</v>
      </c>
    </row>
    <row r="88" spans="1:20" ht="19.5" thickBot="1" x14ac:dyDescent="0.35">
      <c r="A88" s="121" t="s">
        <v>68</v>
      </c>
      <c r="B88" s="122">
        <v>62500</v>
      </c>
      <c r="S88">
        <v>9652</v>
      </c>
      <c r="T88">
        <f>S88*(1+5.56%)</f>
        <v>10188.6512</v>
      </c>
    </row>
    <row r="91" spans="1:20" ht="15.75" thickBot="1" x14ac:dyDescent="0.3"/>
    <row r="92" spans="1:20" ht="21" x14ac:dyDescent="0.35">
      <c r="A92" s="97" t="s">
        <v>147</v>
      </c>
      <c r="B92" s="98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100"/>
    </row>
    <row r="93" spans="1:20" ht="17.25" x14ac:dyDescent="0.3">
      <c r="A93" s="30" t="s">
        <v>14</v>
      </c>
      <c r="B93" s="66">
        <v>1</v>
      </c>
      <c r="C93" s="67">
        <v>1.1000000000000001</v>
      </c>
      <c r="D93" s="66">
        <v>1.2</v>
      </c>
      <c r="E93" s="67">
        <v>1.3</v>
      </c>
      <c r="F93" s="66">
        <v>1.4</v>
      </c>
      <c r="G93" s="67">
        <v>1.5</v>
      </c>
      <c r="H93" s="66">
        <v>1.6</v>
      </c>
      <c r="I93" s="67">
        <v>1.7</v>
      </c>
      <c r="J93" s="66">
        <v>1.8</v>
      </c>
      <c r="K93" s="67">
        <v>1.9</v>
      </c>
      <c r="L93" s="66">
        <v>2</v>
      </c>
      <c r="M93" s="67">
        <v>2.2000000000000002</v>
      </c>
      <c r="N93" s="66">
        <v>2.4</v>
      </c>
      <c r="O93" s="67">
        <v>2.6</v>
      </c>
      <c r="P93" s="66">
        <v>2.8</v>
      </c>
      <c r="Q93" s="68">
        <v>3</v>
      </c>
    </row>
    <row r="94" spans="1:20" ht="17.25" x14ac:dyDescent="0.3">
      <c r="A94" s="116" t="s">
        <v>15</v>
      </c>
      <c r="B94" s="94">
        <f>R6*AT11*U2</f>
        <v>43837.235200000003</v>
      </c>
      <c r="C94" s="94">
        <f>B94+((T37*0.1*2)+(T41*0.1*2))*R6</f>
        <v>45904.9352</v>
      </c>
      <c r="D94" s="94">
        <f>B94+((T37*0.2*2)+(T41*0.2*2))*R6</f>
        <v>47972.635200000004</v>
      </c>
      <c r="E94" s="94">
        <f>B94+((T37*0.3*2)+(T41*0.3*2))*R6</f>
        <v>50040.335200000001</v>
      </c>
      <c r="F94" s="94">
        <f>B94+((T37*0.4*2)+(T41*0.4*2))*R6</f>
        <v>52108.035199999998</v>
      </c>
      <c r="G94" s="94">
        <f>B94+((T37*0.5*2)+(T41*0.5*2))*R6</f>
        <v>54175.735200000003</v>
      </c>
      <c r="H94" s="94">
        <f>B94+((T37*0.6*2)+(T41*0.6*2))*R6</f>
        <v>56243.4352</v>
      </c>
      <c r="I94" s="94">
        <f>B94+((T37*0.7*2)+(T41*0.7*2))*R6</f>
        <v>58311.135200000004</v>
      </c>
      <c r="J94" s="94">
        <f>B94+((T37*0.8*2)+(T41*0.8*2))*R6</f>
        <v>60378.835200000001</v>
      </c>
      <c r="K94" s="94">
        <f>B94+((T37*0.9*2)+(T41*0.9*2))*R6</f>
        <v>62446.535199999998</v>
      </c>
      <c r="L94" s="94">
        <f>B94+((T37*1*2)+(T41*1*2))*R6</f>
        <v>64514.235199999996</v>
      </c>
      <c r="M94" s="94">
        <f>B94+((T37*1.2*2)+(T41*1.2*2))*R6</f>
        <v>68649.635200000004</v>
      </c>
      <c r="N94" s="94">
        <f>B94+((T37*1.4*2)+(T41*1.4*2))*R6</f>
        <v>72785.035199999998</v>
      </c>
      <c r="O94" s="94">
        <f>B94+((T37*1.6*2)+(T41*1.6*2))*R6</f>
        <v>76920.435200000007</v>
      </c>
      <c r="P94" s="94">
        <f>B94+((T37*1.8*2)+(T41*1.8*2))*R6</f>
        <v>81055.835200000001</v>
      </c>
      <c r="Q94" s="136">
        <f>B94+((T37*2*2)+(T41*2*2))*R6</f>
        <v>85191.235199999996</v>
      </c>
    </row>
    <row r="95" spans="1:20" ht="17.25" x14ac:dyDescent="0.3">
      <c r="A95" s="140" t="s">
        <v>16</v>
      </c>
      <c r="B95" s="21">
        <f>R6*AU11*U2</f>
        <v>47853.572800000002</v>
      </c>
      <c r="C95" s="21">
        <f>B95+((T38*0.1*2)+(T41*0.1*2))*R6</f>
        <v>50295.372800000005</v>
      </c>
      <c r="D95" s="21">
        <f>B95+((T38*0.2*2)+(T41*0.2*2))*R6</f>
        <v>52737.1728</v>
      </c>
      <c r="E95" s="21">
        <f>B95+((T38*0.3*2)+(T41*0.3*2))*R6</f>
        <v>55178.972800000003</v>
      </c>
      <c r="F95" s="21">
        <f>B95+((T38*0.4*2)+(T41*0.4*2))*R6</f>
        <v>57620.772800000006</v>
      </c>
      <c r="G95" s="21">
        <f>B95+((T38*0.5*2)+(T41*0.5*2))*R6</f>
        <v>60062.572800000002</v>
      </c>
      <c r="H95" s="21">
        <f>B95+((T38*0.6*2)+(T41*0.6*2))*R6</f>
        <v>62504.372799999997</v>
      </c>
      <c r="I95" s="21">
        <f>B95+((T38*0.7*2)+(T41*0.7*2))*R6</f>
        <v>64946.1728</v>
      </c>
      <c r="J95" s="21">
        <f>B95+((T38*0.8*2)+(T41*0.8*2))*R6</f>
        <v>67387.972800000003</v>
      </c>
      <c r="K95" s="21">
        <f>B95+((T38*0.9*2)+(T41*0.9*2))*R6</f>
        <v>69829.772800000006</v>
      </c>
      <c r="L95" s="21">
        <f>B95+((T38*1*2)+(T41*1*2))*R6</f>
        <v>72271.572799999994</v>
      </c>
      <c r="M95" s="21">
        <f>B95+((T38*1.2*2)+(T41*1.2*2))*R6</f>
        <v>77155.1728</v>
      </c>
      <c r="N95" s="21">
        <f>B95+((T38*1.4*2)+(T41*1.4*2))*R6</f>
        <v>82038.772800000006</v>
      </c>
      <c r="O95" s="21">
        <f>B95+((T38*1.6*2)+(T41*1.6*2))*R6</f>
        <v>86922.372800000012</v>
      </c>
      <c r="P95" s="21">
        <f>B95+((T38*1.8*2)+(T41*1.8*2))*R6</f>
        <v>91805.972799999989</v>
      </c>
      <c r="Q95" s="21">
        <f>B95+((T38*2*2)+(T41*2*2))*R6</f>
        <v>96689.572799999994</v>
      </c>
    </row>
    <row r="96" spans="1:20" ht="15.75" thickBot="1" x14ac:dyDescent="0.3"/>
    <row r="97" spans="1:17" ht="21" x14ac:dyDescent="0.35">
      <c r="A97" s="97" t="s">
        <v>161</v>
      </c>
      <c r="B97" s="98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100"/>
    </row>
    <row r="98" spans="1:17" ht="17.25" x14ac:dyDescent="0.3">
      <c r="A98" s="30" t="s">
        <v>14</v>
      </c>
      <c r="B98" s="66">
        <v>1</v>
      </c>
      <c r="C98" s="67">
        <v>1.1000000000000001</v>
      </c>
      <c r="D98" s="66">
        <v>1.2</v>
      </c>
      <c r="E98" s="67">
        <v>1.3</v>
      </c>
      <c r="F98" s="66">
        <v>1.4</v>
      </c>
      <c r="G98" s="67">
        <v>1.5</v>
      </c>
      <c r="H98" s="66">
        <v>1.6</v>
      </c>
      <c r="I98" s="67">
        <v>1.7</v>
      </c>
      <c r="J98" s="66">
        <v>1.8</v>
      </c>
      <c r="K98" s="67">
        <v>1.9</v>
      </c>
      <c r="L98" s="66">
        <v>2</v>
      </c>
      <c r="M98" s="67">
        <v>2.2000000000000002</v>
      </c>
      <c r="N98" s="66">
        <v>2.4</v>
      </c>
      <c r="O98" s="67">
        <v>2.6</v>
      </c>
      <c r="P98" s="66">
        <v>2.8</v>
      </c>
      <c r="Q98" s="68">
        <v>3</v>
      </c>
    </row>
    <row r="99" spans="1:17" ht="17.25" x14ac:dyDescent="0.3">
      <c r="A99" s="116" t="s">
        <v>15</v>
      </c>
      <c r="B99" s="94">
        <f>R6*AV11*U2</f>
        <v>256284.82760650004</v>
      </c>
      <c r="C99" s="94">
        <f>B99+((T37*0.1*2)+(T47*0.1*2))*R6</f>
        <v>257862.42760650004</v>
      </c>
      <c r="D99" s="94">
        <f>B99+((T37*0.2*2)+(T47*0.2*2))*R6</f>
        <v>259440.02760650005</v>
      </c>
      <c r="E99" s="94">
        <f>B99+((T37*0.3*2)+(T47*0.3*2))*R6</f>
        <v>261017.62760650003</v>
      </c>
      <c r="F99" s="94">
        <f>B99+((T37*0.4*2)+(T47*0.4*2))*R6</f>
        <v>262595.22760650003</v>
      </c>
      <c r="G99" s="94">
        <f>B99+((T37*0.5*2)+(T47*0.5*2))*R6</f>
        <v>264172.82760650001</v>
      </c>
      <c r="H99" s="94">
        <f>B99+((T37*0.6*2)+(T47*0.6*2))*R6</f>
        <v>265750.42760650004</v>
      </c>
      <c r="I99" s="94">
        <f>B99+((T37*0.7*2)+(T47*0.7*2))*R6</f>
        <v>267328.02760650002</v>
      </c>
      <c r="J99" s="94">
        <f>B99+((T37*0.8*2)+(T47*0.8*2))*R6</f>
        <v>268905.62760650006</v>
      </c>
      <c r="K99" s="94">
        <f>B99+((T37*0.9*2)+(T47*0.9*2))*R6</f>
        <v>270483.22760650003</v>
      </c>
      <c r="L99" s="94">
        <f>B99+((T37*1*2)+(T47*1*2))*R6</f>
        <v>272060.82760650001</v>
      </c>
      <c r="M99" s="94">
        <f>B99+((T37*1.2*2)+(T47*1.2*2))*R6</f>
        <v>275216.02760650002</v>
      </c>
      <c r="N99" s="94">
        <f>B99+((T37*1.4*2)+(T47*1.4*2))*R6</f>
        <v>278371.22760650003</v>
      </c>
      <c r="O99" s="94">
        <f>B99+((T37*1.6*2)+(T47*1.6*2))*R6</f>
        <v>281526.42760650004</v>
      </c>
      <c r="P99" s="94">
        <f>B99+((T37*1.8*2)+(T47*1.8*2))*R6</f>
        <v>284681.62760650006</v>
      </c>
      <c r="Q99" s="136">
        <f>B99+((T37*2*2)+(T47*2*2))*R6</f>
        <v>287836.82760650001</v>
      </c>
    </row>
    <row r="100" spans="1:17" ht="17.25" x14ac:dyDescent="0.3">
      <c r="A100" s="140" t="s">
        <v>16</v>
      </c>
      <c r="B100" s="21">
        <f>R6*AW11*U2</f>
        <v>260552.18630650005</v>
      </c>
      <c r="C100" s="21">
        <f>B100+((T38*0.1*2)+(T47*0.1*2))*R6</f>
        <v>262503.88630650006</v>
      </c>
      <c r="D100" s="21">
        <f>B100+((T38*0.2*2)+(T47*0.2*2))*R6</f>
        <v>264455.58630650007</v>
      </c>
      <c r="E100" s="21">
        <f>B100+((T38*0.3*2)+(T47*0.3*2))*R6</f>
        <v>266407.28630650003</v>
      </c>
      <c r="F100" s="21">
        <f>B100+((T38*0.4*2)+(T47*0.4*2))*R6</f>
        <v>268358.98630650004</v>
      </c>
      <c r="G100" s="21">
        <f>B100+((T38*0.5*2)+(T47*0.5*2))*R6</f>
        <v>270310.68630650005</v>
      </c>
      <c r="H100" s="21">
        <f>B100+((T38*0.6*2)+(T47*0.6*2))*R6</f>
        <v>272262.38630650006</v>
      </c>
      <c r="I100" s="21">
        <f>B100+((T38*0.7*2)+(T47*0.7*2))*R6</f>
        <v>274214.08630650007</v>
      </c>
      <c r="J100" s="21">
        <f>B100+((T38*0.8*2)+(T47*0.8*2))*R6</f>
        <v>276165.78630650003</v>
      </c>
      <c r="K100" s="21">
        <f>B100+((T38*0.9*2)+(T47*0.9*2))*R6</f>
        <v>278117.48630650004</v>
      </c>
      <c r="L100" s="21">
        <f>B100+((T38*1*2)+(T47*1*2))*R6</f>
        <v>280069.18630650005</v>
      </c>
      <c r="M100" s="21">
        <f>B100+((T38*1.2*2)+(T47*1.2*2))*R6</f>
        <v>283972.58630650007</v>
      </c>
      <c r="N100" s="21">
        <f>B100+((T38*1.4*2)+(T47*1.4*2))*R6</f>
        <v>287875.98630650004</v>
      </c>
      <c r="O100" s="21">
        <f>B100+((T38*1.6*2)+(T47*1.6*2))*R6</f>
        <v>291779.38630650006</v>
      </c>
      <c r="P100" s="21">
        <f>B100+((T38*1.8*2)+(T47*1.8*2))*R6</f>
        <v>295682.78630650009</v>
      </c>
      <c r="Q100" s="21">
        <f>B100+((T38*2*2)+(T47*2*2))*R6</f>
        <v>299586.18630650005</v>
      </c>
    </row>
    <row r="101" spans="1:17" ht="15.75" thickBot="1" x14ac:dyDescent="0.3"/>
    <row r="102" spans="1:17" ht="21" x14ac:dyDescent="0.35">
      <c r="A102" s="97" t="s">
        <v>172</v>
      </c>
      <c r="B102" s="98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100"/>
    </row>
    <row r="103" spans="1:17" ht="17.25" x14ac:dyDescent="0.3">
      <c r="A103" s="30" t="s">
        <v>14</v>
      </c>
      <c r="B103" s="66">
        <v>1</v>
      </c>
      <c r="C103" s="67">
        <v>1.1000000000000001</v>
      </c>
      <c r="D103" s="66">
        <v>1.2</v>
      </c>
      <c r="E103" s="67">
        <v>1.3</v>
      </c>
      <c r="F103" s="66">
        <v>1.4</v>
      </c>
      <c r="G103" s="67">
        <v>1.5</v>
      </c>
      <c r="H103" s="66">
        <v>1.6</v>
      </c>
      <c r="I103" s="67">
        <v>1.7</v>
      </c>
      <c r="J103" s="66">
        <v>1.8</v>
      </c>
      <c r="K103" s="67">
        <v>1.9</v>
      </c>
      <c r="L103" s="66">
        <v>2</v>
      </c>
      <c r="M103" s="67">
        <v>2.2000000000000002</v>
      </c>
      <c r="N103" s="66">
        <v>2.4</v>
      </c>
      <c r="O103" s="67">
        <v>2.6</v>
      </c>
      <c r="P103" s="66">
        <v>2.8</v>
      </c>
      <c r="Q103" s="68">
        <v>3</v>
      </c>
    </row>
    <row r="104" spans="1:17" ht="17.25" x14ac:dyDescent="0.3">
      <c r="A104" s="116" t="s">
        <v>15</v>
      </c>
      <c r="B104" s="94">
        <f>R6*AX11*U2</f>
        <v>217777.12062150001</v>
      </c>
      <c r="C104" s="94">
        <f>B104+((T47*0.1*2)+(T37*0.1*2))*R6</f>
        <v>219354.72062150002</v>
      </c>
      <c r="D104" s="94">
        <f>B104+((T47*0.2*2)+(T37*0.2*2))*R6</f>
        <v>220932.32062150002</v>
      </c>
      <c r="E104" s="94">
        <f>B104+((T47*0.3*2)+(T37*0.3*2))*R6</f>
        <v>222509.9206215</v>
      </c>
      <c r="F104" s="94">
        <f>B104+((T47*0.4*2)+(T37*0.4*2))*R6</f>
        <v>224087.52062150001</v>
      </c>
      <c r="G104" s="94">
        <f>B104+((T47*0.5*2)+(T37*0.5*2))*R6</f>
        <v>225665.12062150001</v>
      </c>
      <c r="H104" s="94">
        <f>B104+((T47*0.6*2)+(T37*0.6*2))*R6</f>
        <v>227242.72062150002</v>
      </c>
      <c r="I104" s="94">
        <f>B104+((T47*0.7*2)+(T37*0.7*2))*R6</f>
        <v>228820.32062150002</v>
      </c>
      <c r="J104" s="94">
        <f>B104+((T47*0.8*2)+(T37*0.8*2))*R6</f>
        <v>230397.9206215</v>
      </c>
      <c r="K104" s="94">
        <f>B104+((T47*0.9*2)+(T37*0.9*2))*R6</f>
        <v>231975.52062150001</v>
      </c>
      <c r="L104" s="94">
        <f>B104+((T47*1*2)+(T37*1*2))*R6</f>
        <v>233553.12062150001</v>
      </c>
      <c r="M104" s="94">
        <f>B104+((T47*1.2*2)+(T37*1.2*2))*R6</f>
        <v>236708.32062150002</v>
      </c>
      <c r="N104" s="94">
        <f>B104+((T47*1.4*2)+(T37*1.4*2))*R6</f>
        <v>239863.52062150001</v>
      </c>
      <c r="O104" s="94">
        <f>B104+((T47*1.6*2)+(T37*1.6*2))*R6</f>
        <v>243018.72062150002</v>
      </c>
      <c r="P104" s="94">
        <f>B104+((T47*1.8*2)+(T37*1.8*2))*R6</f>
        <v>246173.9206215</v>
      </c>
      <c r="Q104" s="136">
        <f>B104+((T47*2*2)+(T37*2*2))*R6</f>
        <v>249329.12062150001</v>
      </c>
    </row>
    <row r="105" spans="1:17" ht="17.25" x14ac:dyDescent="0.3">
      <c r="A105" s="140" t="s">
        <v>16</v>
      </c>
      <c r="B105" s="21">
        <f>R6*AY11*U2</f>
        <v>222044.47932150002</v>
      </c>
      <c r="C105" s="21">
        <f>B105+((T47*0.1*2)+(T38*0.1*2))*R6</f>
        <v>223996.17932150004</v>
      </c>
      <c r="D105" s="21">
        <f>B105+((T47*0.2*2)+(T38*0.2*2))*R6</f>
        <v>225947.87932150002</v>
      </c>
      <c r="E105" s="21">
        <f>B105+((T47*0.3*2)+(T38*0.3*2))*R6</f>
        <v>227899.57932150003</v>
      </c>
      <c r="F105" s="21">
        <f>B105+((T47*0.4*2)+(T38*0.4*2))*R6</f>
        <v>229851.27932150001</v>
      </c>
      <c r="G105" s="21">
        <f>B105+((T47*0.5*2)+(T38*0.5*2))*R6</f>
        <v>231802.97932150002</v>
      </c>
      <c r="H105" s="21">
        <f>B105+((T47*0.6*2)+(T38*0.6*2))*R6</f>
        <v>233754.67932150004</v>
      </c>
      <c r="I105" s="21">
        <f>B105+((T47*0.7*2)+(T38*0.7*2))*R6</f>
        <v>235706.37932150002</v>
      </c>
      <c r="J105" s="21">
        <f>B105+((T47*0.8*2)+(T38*0.8*2))*R6</f>
        <v>237658.07932150003</v>
      </c>
      <c r="K105" s="21">
        <f>B105+((T47*0.9*2)+(T38*0.9*2))*R6</f>
        <v>239609.77932150004</v>
      </c>
      <c r="L105" s="21">
        <f>B105+((T47*1*2)+(T37*1*2))*R6</f>
        <v>237820.47932150002</v>
      </c>
      <c r="M105" s="21">
        <f>B105+((T47*1.2*2)+(T38*1.2*2))*R6</f>
        <v>245464.87932150002</v>
      </c>
      <c r="N105" s="21">
        <f>B105+((T47*1.4*2)+(T38*1.4*2))*R6</f>
        <v>249368.27932150004</v>
      </c>
      <c r="O105" s="21">
        <f>B105+((T47*1.6*2)+(T38*1.6*2))*R6</f>
        <v>253271.67932150004</v>
      </c>
      <c r="P105" s="21">
        <f>B105+((T47*1.8*2)+(T38*1.8*2))*R6</f>
        <v>257175.07932150003</v>
      </c>
      <c r="Q105" s="21">
        <f>B105+((T47*2*2)+(T38*2*2))*R6</f>
        <v>261078.47932150002</v>
      </c>
    </row>
    <row r="106" spans="1:17" ht="15.75" thickBot="1" x14ac:dyDescent="0.3"/>
    <row r="107" spans="1:17" ht="21" x14ac:dyDescent="0.35">
      <c r="A107" s="97" t="s">
        <v>160</v>
      </c>
      <c r="B107" s="98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100"/>
    </row>
    <row r="108" spans="1:17" ht="17.25" x14ac:dyDescent="0.3">
      <c r="A108" s="30" t="s">
        <v>14</v>
      </c>
      <c r="B108" s="66">
        <v>1</v>
      </c>
      <c r="C108" s="67">
        <v>1.1000000000000001</v>
      </c>
      <c r="D108" s="66">
        <v>1.2</v>
      </c>
      <c r="E108" s="67">
        <v>1.3</v>
      </c>
      <c r="F108" s="66">
        <v>1.4</v>
      </c>
      <c r="G108" s="67">
        <v>1.5</v>
      </c>
      <c r="H108" s="66">
        <v>1.6</v>
      </c>
      <c r="I108" s="67">
        <v>1.7</v>
      </c>
      <c r="J108" s="66">
        <v>1.8</v>
      </c>
      <c r="K108" s="67">
        <v>1.9</v>
      </c>
      <c r="L108" s="66">
        <v>2</v>
      </c>
      <c r="M108" s="67">
        <v>2.2000000000000002</v>
      </c>
      <c r="N108" s="66">
        <v>2.4</v>
      </c>
      <c r="O108" s="67">
        <v>2.6</v>
      </c>
      <c r="P108" s="66">
        <v>2.8</v>
      </c>
      <c r="Q108" s="68">
        <v>3</v>
      </c>
    </row>
    <row r="109" spans="1:17" ht="17.25" x14ac:dyDescent="0.3">
      <c r="A109" s="116" t="s">
        <v>15</v>
      </c>
      <c r="B109" s="94">
        <f>R6*BA11*U2</f>
        <v>196246.41818650003</v>
      </c>
      <c r="C109" s="94">
        <f>B109+((BB4*0.1*2)+(T37*0.1*2))*R6</f>
        <v>198604.11818650004</v>
      </c>
      <c r="D109" s="94">
        <f>B109+((BB4*0.2*2)+(T37*0.2*2))*R6</f>
        <v>200961.81818650002</v>
      </c>
      <c r="E109" s="94">
        <f>B109+((BB4*0.3*2)+(T37*0.3*2))*R6</f>
        <v>203319.51818650003</v>
      </c>
      <c r="F109" s="94">
        <f>B109+((BB4*0.4*2)+(T37*0.4*2))*R6</f>
        <v>205677.21818650002</v>
      </c>
      <c r="G109" s="94">
        <f>B109+((BB4*0.5*2)+(T37*0.5*2))*R6</f>
        <v>208034.91818650003</v>
      </c>
      <c r="H109" s="94">
        <f>B109+((BB4*0.6*2)+(T37*0.6*2))*R6</f>
        <v>210392.61818650004</v>
      </c>
      <c r="I109" s="94">
        <f>B109+((BB4*0.7*2)+(T37*0.7*2))*R6</f>
        <v>212750.31818650002</v>
      </c>
      <c r="J109" s="94">
        <f>B109+((BB4*0.8*2)+(T37*0.8*2))*R6</f>
        <v>215108.01818650003</v>
      </c>
      <c r="K109" s="94">
        <f>B109+((BB4*0.9*2)+(T37*0.9*2))*R6</f>
        <v>217465.71818650002</v>
      </c>
      <c r="L109" s="94">
        <f>B109+((BB4*1*2)+(T37*1*2))*R6</f>
        <v>219823.41818650003</v>
      </c>
      <c r="M109" s="94">
        <f>B109+((BB4*1.2*2)+(T37*1.2*2))*R6</f>
        <v>224538.81818650002</v>
      </c>
      <c r="N109" s="94">
        <f>B109+((BB4*1.4*2)+(T37*1.4*2))*R6</f>
        <v>229254.21818650002</v>
      </c>
      <c r="O109" s="94">
        <f>B109+((BB4*1.6*2)+(T37*1.6*2))*R6</f>
        <v>233969.61818650004</v>
      </c>
      <c r="P109" s="94">
        <f>B109+((BB4*1.8*2)+(T37*1.8*2))*R6</f>
        <v>238685.01818650003</v>
      </c>
      <c r="Q109" s="136">
        <f>B109+((BB4*2*2)+(T37*2*2))*R6</f>
        <v>243400.41818650003</v>
      </c>
    </row>
    <row r="110" spans="1:17" ht="17.25" x14ac:dyDescent="0.3">
      <c r="A110" s="140" t="s">
        <v>16</v>
      </c>
      <c r="B110" s="21">
        <f>R6*BB11*U2</f>
        <v>200513.77688650004</v>
      </c>
      <c r="C110" s="21">
        <f>B110+((BB4*0.1*2)+(T38*0.1*2))*R6</f>
        <v>203245.57688650003</v>
      </c>
      <c r="D110" s="21">
        <f>B110+((BB4*0.2*2)+(T38*0.2*2))*R6</f>
        <v>205977.37688650005</v>
      </c>
      <c r="E110" s="21">
        <f>B110+((BB4*0.3*2)+(T38*0.3*2))*R6</f>
        <v>208709.17688650003</v>
      </c>
      <c r="F110" s="21">
        <f>B110+((BB4*0.4*2)+(T37*0.4*2))*R6</f>
        <v>209944.57688650003</v>
      </c>
      <c r="G110" s="21">
        <f>B110+((BB4*0.5*2)+(T38*0.5*2))*R6</f>
        <v>214172.77688650004</v>
      </c>
      <c r="H110" s="21">
        <f>B110+((BB4*0.6*2)+(T38*0.6*2))*R6</f>
        <v>216904.57688650003</v>
      </c>
      <c r="I110" s="21">
        <f>B110+((BB4*0.7*2)+(T38*0.7*2))*R6</f>
        <v>219636.37688650005</v>
      </c>
      <c r="J110" s="21">
        <f>B110+((BB4*0.8*2)+(T38*0.8*2))*R6</f>
        <v>222368.17688650003</v>
      </c>
      <c r="K110" s="21">
        <f>B110+((BB4*0.9*2)+(T38*0.9*2))*R6</f>
        <v>225099.97688650005</v>
      </c>
      <c r="L110" s="21">
        <f>B110+((BB4*1*2)+(T38*1*2))*R6</f>
        <v>227831.77688650004</v>
      </c>
      <c r="M110" s="21">
        <f>B110+((BB4*1.2*2)+(T38*1.2*2))*R6</f>
        <v>233295.37688650005</v>
      </c>
      <c r="N110" s="21">
        <f>B110+((BB4*1.4*2)+(T38*1.4*2))*R6</f>
        <v>238758.97688650002</v>
      </c>
      <c r="O110" s="21">
        <f>B110+((BB4*1.6*2)+(T38*1.6*2))*R6</f>
        <v>244222.57688650003</v>
      </c>
      <c r="P110" s="21">
        <f>B110+((BB4*1.8*2)+(T38*1.8*2))*R6</f>
        <v>249686.17688650003</v>
      </c>
      <c r="Q110" s="21">
        <f>B110+((BB4*2*2)+(T38*2*2))*R6</f>
        <v>255149.77688650004</v>
      </c>
    </row>
    <row r="112" spans="1:17" ht="17.25" x14ac:dyDescent="0.3">
      <c r="A112" s="198" t="s">
        <v>165</v>
      </c>
      <c r="B112" s="198"/>
      <c r="C112" s="198"/>
    </row>
    <row r="113" spans="1:3" x14ac:dyDescent="0.25">
      <c r="A113" s="199">
        <f>R6*AM7*U2</f>
        <v>53512.25</v>
      </c>
      <c r="B113" s="199"/>
      <c r="C113" s="199"/>
    </row>
  </sheetData>
  <mergeCells count="54">
    <mergeCell ref="A112:C112"/>
    <mergeCell ref="A113:C113"/>
    <mergeCell ref="AL5:AM5"/>
    <mergeCell ref="D87:G87"/>
    <mergeCell ref="Y35:AD35"/>
    <mergeCell ref="C28:E28"/>
    <mergeCell ref="C27:E27"/>
    <mergeCell ref="A68:B68"/>
    <mergeCell ref="A55:D55"/>
    <mergeCell ref="B40:Q40"/>
    <mergeCell ref="C29:E29"/>
    <mergeCell ref="C30:E30"/>
    <mergeCell ref="V1:V2"/>
    <mergeCell ref="C16:E16"/>
    <mergeCell ref="C17:E17"/>
    <mergeCell ref="C20:E20"/>
    <mergeCell ref="C26:E26"/>
    <mergeCell ref="C21:E21"/>
    <mergeCell ref="C22:E22"/>
    <mergeCell ref="C23:E23"/>
    <mergeCell ref="C24:E24"/>
    <mergeCell ref="C25:E25"/>
    <mergeCell ref="W1:X1"/>
    <mergeCell ref="A73:D73"/>
    <mergeCell ref="C7:E7"/>
    <mergeCell ref="C8:E8"/>
    <mergeCell ref="C10:E10"/>
    <mergeCell ref="A67:B67"/>
    <mergeCell ref="C11:E11"/>
    <mergeCell ref="C9:E9"/>
    <mergeCell ref="C12:E12"/>
    <mergeCell ref="C13:E13"/>
    <mergeCell ref="C14:E14"/>
    <mergeCell ref="C15:E15"/>
    <mergeCell ref="B42:E42"/>
    <mergeCell ref="A50:B50"/>
    <mergeCell ref="C31:E31"/>
    <mergeCell ref="C32:E32"/>
    <mergeCell ref="AP1:AQ1"/>
    <mergeCell ref="AK1:AM1"/>
    <mergeCell ref="C18:E18"/>
    <mergeCell ref="C19:E19"/>
    <mergeCell ref="C2:E2"/>
    <mergeCell ref="C3:E3"/>
    <mergeCell ref="C4:E4"/>
    <mergeCell ref="C5:E5"/>
    <mergeCell ref="C6:E6"/>
    <mergeCell ref="AG1:AH1"/>
    <mergeCell ref="AI1:AJ1"/>
    <mergeCell ref="AC1:AD1"/>
    <mergeCell ref="AE1:AF1"/>
    <mergeCell ref="Y1:Z1"/>
    <mergeCell ref="AA1:AB1"/>
    <mergeCell ref="C1:E1"/>
  </mergeCells>
  <pageMargins left="0.23622047244094491" right="0.23622047244094491" top="0.74803149606299213" bottom="0.74803149606299213" header="0.31496062992125984" footer="0.31496062992125984"/>
  <pageSetup paperSize="9" orientation="landscape" horizontalDpi="0" verticalDpi="0" r:id="rId1"/>
  <headerFooter>
    <oddHeader xml:space="preserve">&amp;R02/03/2026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Berardini</dc:creator>
  <cp:lastModifiedBy>BM Diseños</cp:lastModifiedBy>
  <cp:lastPrinted>2026-01-30T13:30:57Z</cp:lastPrinted>
  <dcterms:created xsi:type="dcterms:W3CDTF">2019-03-16T15:10:50Z</dcterms:created>
  <dcterms:modified xsi:type="dcterms:W3CDTF">2026-02-27T17:38:59Z</dcterms:modified>
</cp:coreProperties>
</file>